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ЗАВУЧ\2026-2027 УЧЕБНЫЙ ГОД\РАСПИСАНИЕ ЗАНЯТИЙ 2026-2027\"/>
    </mc:Choice>
  </mc:AlternateContent>
  <xr:revisionPtr revIDLastSave="0" documentId="13_ncr:1_{B43C2ADB-E0CC-45D1-8E9D-6C2396C9A185}" xr6:coauthVersionLast="47" xr6:coauthVersionMax="47" xr10:uidLastSave="{00000000-0000-0000-0000-000000000000}"/>
  <bookViews>
    <workbookView xWindow="-120" yWindow="-120" windowWidth="29040" windowHeight="15840" activeTab="4" xr2:uid="{E58C29D6-CA42-42D7-B96F-108E2A26BC35}"/>
  </bookViews>
  <sheets>
    <sheet name="Препод" sheetId="15" r:id="rId1"/>
    <sheet name="Бланк" sheetId="13" r:id="rId2"/>
    <sheet name="На неделю" sheetId="1" r:id="rId3"/>
    <sheet name="Понедельник" sheetId="2" r:id="rId4"/>
    <sheet name="Вторник" sheetId="7" r:id="rId5"/>
    <sheet name="Среда" sheetId="8" r:id="rId6"/>
    <sheet name="Четверг" sheetId="9" r:id="rId7"/>
    <sheet name="Пятница" sheetId="10" r:id="rId8"/>
    <sheet name="Суббота" sheetId="16" r:id="rId9"/>
  </sheets>
  <definedNames>
    <definedName name="_xlnm.Print_Area" localSheetId="1">Бланк!$A$1:$T$38</definedName>
    <definedName name="_xlnm.Print_Area" localSheetId="4">Вторник!$A$1:$E$58</definedName>
    <definedName name="_xlnm.Print_Area" localSheetId="2">'На неделю'!$A$1:$AM$63</definedName>
    <definedName name="_xlnm.Print_Area" localSheetId="3">Понедельник!$A$1:$E$58</definedName>
    <definedName name="_xlnm.Print_Area" localSheetId="0">Препод!$A$1:$AP$17</definedName>
    <definedName name="_xlnm.Print_Area" localSheetId="7">Пятница!$A$1:$E$58</definedName>
    <definedName name="_xlnm.Print_Area" localSheetId="5">Среда!$A$1:$E$58</definedName>
    <definedName name="_xlnm.Print_Area" localSheetId="8">Суббота!$A$1:$E$58</definedName>
    <definedName name="_xlnm.Print_Area" localSheetId="6">Четверг!$A$1:$E$58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3" i="16" l="1"/>
  <c r="C52" i="16"/>
  <c r="C51" i="16"/>
  <c r="C50" i="16"/>
  <c r="C49" i="16"/>
  <c r="C48" i="16"/>
  <c r="C47" i="16"/>
  <c r="C46" i="16"/>
  <c r="C45" i="16"/>
  <c r="C44" i="16"/>
  <c r="B54" i="16"/>
  <c r="B53" i="16"/>
  <c r="B43" i="8"/>
  <c r="E37" i="7"/>
  <c r="E36" i="7"/>
  <c r="E10" i="7"/>
  <c r="C9" i="7"/>
  <c r="C8" i="7"/>
  <c r="C11" i="7"/>
  <c r="C10" i="7"/>
  <c r="C12" i="7"/>
  <c r="C13" i="7"/>
  <c r="C15" i="7"/>
  <c r="A10" i="7"/>
  <c r="B10" i="7"/>
  <c r="D10" i="7"/>
  <c r="A11" i="7"/>
  <c r="B11" i="7"/>
  <c r="D11" i="7"/>
  <c r="E11" i="7"/>
  <c r="B44" i="7"/>
  <c r="C44" i="7"/>
  <c r="C54" i="7"/>
  <c r="C53" i="7"/>
  <c r="C52" i="7"/>
  <c r="C51" i="7"/>
  <c r="C50" i="7"/>
  <c r="C49" i="7"/>
  <c r="C48" i="7"/>
  <c r="C47" i="7"/>
  <c r="C46" i="7"/>
  <c r="C45" i="7"/>
  <c r="B54" i="7"/>
  <c r="B53" i="7"/>
  <c r="B51" i="7"/>
  <c r="B52" i="7"/>
  <c r="B50" i="7"/>
  <c r="B49" i="7"/>
  <c r="B48" i="7"/>
  <c r="B47" i="7"/>
  <c r="B46" i="7"/>
  <c r="B45" i="7"/>
  <c r="AL74" i="1"/>
  <c r="AL72" i="1"/>
  <c r="AL70" i="1"/>
  <c r="AL68" i="1"/>
  <c r="AL66" i="1"/>
  <c r="AL65" i="1"/>
  <c r="AL61" i="1"/>
  <c r="AL59" i="1"/>
  <c r="AL57" i="1"/>
  <c r="AL55" i="1"/>
  <c r="AL53" i="1"/>
  <c r="AL52" i="1"/>
  <c r="AL49" i="1"/>
  <c r="AL47" i="1"/>
  <c r="AL45" i="1"/>
  <c r="AL43" i="1"/>
  <c r="AL41" i="1"/>
  <c r="AL40" i="1"/>
  <c r="AL37" i="1"/>
  <c r="AL35" i="1"/>
  <c r="AL33" i="1"/>
  <c r="AL31" i="1"/>
  <c r="AL29" i="1"/>
  <c r="AL28" i="1"/>
  <c r="AL25" i="1"/>
  <c r="AL23" i="1"/>
  <c r="AL21" i="1"/>
  <c r="AL19" i="1"/>
  <c r="AL17" i="1"/>
  <c r="AL16" i="1"/>
  <c r="AL13" i="1"/>
  <c r="AL11" i="1"/>
  <c r="AL9" i="1"/>
  <c r="AL7" i="1"/>
  <c r="AL5" i="1"/>
  <c r="AL4" i="1"/>
  <c r="AL2" i="1"/>
  <c r="B52" i="16"/>
  <c r="B51" i="16"/>
  <c r="B50" i="16"/>
  <c r="B49" i="16"/>
  <c r="B48" i="16"/>
  <c r="B47" i="16"/>
  <c r="B46" i="16"/>
  <c r="B45" i="16"/>
  <c r="B44" i="16"/>
  <c r="C54" i="16"/>
  <c r="C43" i="16"/>
  <c r="B43" i="16"/>
  <c r="A43" i="16"/>
  <c r="C43" i="10"/>
  <c r="B43" i="10"/>
  <c r="C43" i="9"/>
  <c r="B43" i="9"/>
  <c r="C43" i="8"/>
  <c r="B43" i="7"/>
  <c r="C43" i="7"/>
  <c r="C43" i="2" s="1"/>
  <c r="B43" i="2"/>
  <c r="AK74" i="1"/>
  <c r="AK72" i="1"/>
  <c r="AK70" i="1"/>
  <c r="AK68" i="1"/>
  <c r="AK66" i="1"/>
  <c r="AK65" i="1"/>
  <c r="AK61" i="1"/>
  <c r="AK59" i="1"/>
  <c r="AK57" i="1"/>
  <c r="AK55" i="1"/>
  <c r="AK53" i="1"/>
  <c r="AK52" i="1"/>
  <c r="AK49" i="1"/>
  <c r="AK47" i="1"/>
  <c r="AK45" i="1"/>
  <c r="AK43" i="1"/>
  <c r="AK41" i="1"/>
  <c r="AK40" i="1"/>
  <c r="AK37" i="1"/>
  <c r="AK35" i="1"/>
  <c r="AK33" i="1"/>
  <c r="AK31" i="1"/>
  <c r="AK29" i="1"/>
  <c r="AK28" i="1"/>
  <c r="AK25" i="1"/>
  <c r="AK23" i="1"/>
  <c r="AK21" i="1"/>
  <c r="AK19" i="1"/>
  <c r="AK17" i="1"/>
  <c r="AK16" i="1"/>
  <c r="AK13" i="1"/>
  <c r="AK11" i="1"/>
  <c r="AK9" i="1"/>
  <c r="AK7" i="1"/>
  <c r="AK5" i="1"/>
  <c r="AK4" i="1"/>
  <c r="AK2" i="1"/>
  <c r="D12" i="2"/>
  <c r="C52" i="10"/>
  <c r="C37" i="10"/>
  <c r="C22" i="2"/>
  <c r="C21" i="2"/>
  <c r="E54" i="10"/>
  <c r="E53" i="10"/>
  <c r="E54" i="9"/>
  <c r="E53" i="9"/>
  <c r="E54" i="7"/>
  <c r="E53" i="7"/>
  <c r="D53" i="2"/>
  <c r="D36" i="10"/>
  <c r="D32" i="9"/>
  <c r="B34" i="8"/>
  <c r="A14" i="2"/>
  <c r="A13" i="2"/>
  <c r="A12" i="2"/>
  <c r="AM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AM74" i="1"/>
  <c r="AJ74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AM72" i="1"/>
  <c r="AJ72" i="1"/>
  <c r="AI72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AM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AM68" i="1"/>
  <c r="AJ68" i="1"/>
  <c r="AI68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AM66" i="1"/>
  <c r="AJ66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AM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AM61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AM59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AM57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AM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AM53" i="1"/>
  <c r="AJ53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AM52" i="1"/>
  <c r="AJ52" i="1"/>
  <c r="AI52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AM49" i="1"/>
  <c r="AJ49" i="1"/>
  <c r="AI49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AM47" i="1"/>
  <c r="AJ47" i="1"/>
  <c r="AI47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AM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AM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AM41" i="1"/>
  <c r="AJ41" i="1"/>
  <c r="AI41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AM40" i="1"/>
  <c r="AJ40" i="1"/>
  <c r="AI40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AM37" i="1"/>
  <c r="AJ37" i="1"/>
  <c r="AI37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AM35" i="1"/>
  <c r="AJ35" i="1"/>
  <c r="AI35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AM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AM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AM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AM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AM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AM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AM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AM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AM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AM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AM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AM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AM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AM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AM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AM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A1" i="13"/>
  <c r="A3" i="13"/>
  <c r="B3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A4" i="7"/>
  <c r="B4" i="7"/>
  <c r="C4" i="7"/>
  <c r="D4" i="7"/>
  <c r="E4" i="7"/>
  <c r="A5" i="7"/>
  <c r="B5" i="7"/>
  <c r="C5" i="7"/>
  <c r="D5" i="7"/>
  <c r="E5" i="7"/>
  <c r="A6" i="7"/>
  <c r="B6" i="7"/>
  <c r="C6" i="7"/>
  <c r="D6" i="7"/>
  <c r="E6" i="7"/>
  <c r="A7" i="7"/>
  <c r="B7" i="7"/>
  <c r="C7" i="7"/>
  <c r="D7" i="7"/>
  <c r="E7" i="7"/>
  <c r="A8" i="7"/>
  <c r="B8" i="7"/>
  <c r="D8" i="7"/>
  <c r="E8" i="7"/>
  <c r="A9" i="7"/>
  <c r="B9" i="7"/>
  <c r="D9" i="7"/>
  <c r="E9" i="7"/>
  <c r="A12" i="7"/>
  <c r="B12" i="7"/>
  <c r="D12" i="7"/>
  <c r="E12" i="7"/>
  <c r="A13" i="7"/>
  <c r="B13" i="7"/>
  <c r="D13" i="7"/>
  <c r="E13" i="7"/>
  <c r="A14" i="7"/>
  <c r="B14" i="7"/>
  <c r="C14" i="7"/>
  <c r="D14" i="7"/>
  <c r="E14" i="7"/>
  <c r="A15" i="7"/>
  <c r="B15" i="7"/>
  <c r="D15" i="7"/>
  <c r="E15" i="7"/>
  <c r="A17" i="7"/>
  <c r="B17" i="7"/>
  <c r="C17" i="7"/>
  <c r="D17" i="7"/>
  <c r="E17" i="7"/>
  <c r="A18" i="7"/>
  <c r="B18" i="7"/>
  <c r="C18" i="7"/>
  <c r="D18" i="7"/>
  <c r="E18" i="7"/>
  <c r="A19" i="7"/>
  <c r="B19" i="7"/>
  <c r="C19" i="7"/>
  <c r="D19" i="7"/>
  <c r="E19" i="7"/>
  <c r="A20" i="7"/>
  <c r="B20" i="7"/>
  <c r="C20" i="7"/>
  <c r="D20" i="7"/>
  <c r="E20" i="7"/>
  <c r="A21" i="7"/>
  <c r="B21" i="7"/>
  <c r="C21" i="7"/>
  <c r="D21" i="7"/>
  <c r="E21" i="7"/>
  <c r="A22" i="7"/>
  <c r="B22" i="7"/>
  <c r="C22" i="7"/>
  <c r="D22" i="7"/>
  <c r="E22" i="7"/>
  <c r="A23" i="7"/>
  <c r="B23" i="7"/>
  <c r="C23" i="7"/>
  <c r="D23" i="7"/>
  <c r="E23" i="7"/>
  <c r="A24" i="7"/>
  <c r="B24" i="7"/>
  <c r="C24" i="7"/>
  <c r="D24" i="7"/>
  <c r="E24" i="7"/>
  <c r="A25" i="7"/>
  <c r="B25" i="7"/>
  <c r="C25" i="7"/>
  <c r="D25" i="7"/>
  <c r="E25" i="7"/>
  <c r="A26" i="7"/>
  <c r="B26" i="7"/>
  <c r="C26" i="7"/>
  <c r="D26" i="7"/>
  <c r="E26" i="7"/>
  <c r="A27" i="7"/>
  <c r="B27" i="7"/>
  <c r="C27" i="7"/>
  <c r="D27" i="7"/>
  <c r="E27" i="7"/>
  <c r="A28" i="7"/>
  <c r="B28" i="7"/>
  <c r="C28" i="7"/>
  <c r="D28" i="7"/>
  <c r="E28" i="7"/>
  <c r="A30" i="7"/>
  <c r="B30" i="7"/>
  <c r="C30" i="7"/>
  <c r="D30" i="7"/>
  <c r="E30" i="7"/>
  <c r="A31" i="7"/>
  <c r="B31" i="7"/>
  <c r="C31" i="7"/>
  <c r="D31" i="7"/>
  <c r="E31" i="7"/>
  <c r="A32" i="7"/>
  <c r="B32" i="7"/>
  <c r="C32" i="7"/>
  <c r="D32" i="7"/>
  <c r="E32" i="7"/>
  <c r="A33" i="7"/>
  <c r="B33" i="7"/>
  <c r="C33" i="7"/>
  <c r="D33" i="7"/>
  <c r="E33" i="7"/>
  <c r="A34" i="7"/>
  <c r="B34" i="7"/>
  <c r="C34" i="7"/>
  <c r="D34" i="7"/>
  <c r="E34" i="7"/>
  <c r="A35" i="7"/>
  <c r="B35" i="7"/>
  <c r="C35" i="7"/>
  <c r="D35" i="7"/>
  <c r="E35" i="7"/>
  <c r="A36" i="7"/>
  <c r="B36" i="7"/>
  <c r="C36" i="7"/>
  <c r="D36" i="7"/>
  <c r="A37" i="7"/>
  <c r="B37" i="7"/>
  <c r="C37" i="7"/>
  <c r="D37" i="7"/>
  <c r="A38" i="7"/>
  <c r="B38" i="7"/>
  <c r="C38" i="7"/>
  <c r="D38" i="7"/>
  <c r="E38" i="7"/>
  <c r="A39" i="7"/>
  <c r="B39" i="7"/>
  <c r="C39" i="7"/>
  <c r="D39" i="7"/>
  <c r="E39" i="7"/>
  <c r="A40" i="7"/>
  <c r="B40" i="7"/>
  <c r="C40" i="7"/>
  <c r="D40" i="7"/>
  <c r="E40" i="7"/>
  <c r="A41" i="7"/>
  <c r="B41" i="7"/>
  <c r="C41" i="7"/>
  <c r="D41" i="7"/>
  <c r="E41" i="7"/>
  <c r="A43" i="7"/>
  <c r="A44" i="7"/>
  <c r="A45" i="7"/>
  <c r="A46" i="7"/>
  <c r="A47" i="7"/>
  <c r="A48" i="7"/>
  <c r="A49" i="7"/>
  <c r="A50" i="7"/>
  <c r="A51" i="7"/>
  <c r="A52" i="7"/>
  <c r="A53" i="7"/>
  <c r="A54" i="7"/>
  <c r="F1" i="1"/>
  <c r="K1" i="1" s="1"/>
  <c r="P1" i="1" s="1"/>
  <c r="I1" i="1"/>
  <c r="N1" i="1" s="1"/>
  <c r="T1" i="1" s="1"/>
  <c r="J1" i="1"/>
  <c r="U1" i="1"/>
  <c r="A3" i="2"/>
  <c r="A3" i="7" s="1"/>
  <c r="A3" i="8" s="1"/>
  <c r="A3" i="9" s="1"/>
  <c r="A3" i="10" s="1"/>
  <c r="A3" i="16" s="1"/>
  <c r="A4" i="2"/>
  <c r="B4" i="2"/>
  <c r="C4" i="2"/>
  <c r="D4" i="2"/>
  <c r="E4" i="2"/>
  <c r="A5" i="2"/>
  <c r="B5" i="2"/>
  <c r="C5" i="2"/>
  <c r="D5" i="2"/>
  <c r="E5" i="2"/>
  <c r="A6" i="2"/>
  <c r="B6" i="2"/>
  <c r="C6" i="2"/>
  <c r="D6" i="2"/>
  <c r="E6" i="2"/>
  <c r="A7" i="2"/>
  <c r="B7" i="2"/>
  <c r="C7" i="2"/>
  <c r="D7" i="2"/>
  <c r="E7" i="2"/>
  <c r="A8" i="2"/>
  <c r="B8" i="2"/>
  <c r="C8" i="2"/>
  <c r="D8" i="2"/>
  <c r="E8" i="2"/>
  <c r="A9" i="2"/>
  <c r="B9" i="2"/>
  <c r="C9" i="2"/>
  <c r="D9" i="2"/>
  <c r="E9" i="2"/>
  <c r="A10" i="2"/>
  <c r="B10" i="2"/>
  <c r="C10" i="2"/>
  <c r="D10" i="2"/>
  <c r="E10" i="2"/>
  <c r="A11" i="2"/>
  <c r="B11" i="2"/>
  <c r="C11" i="2"/>
  <c r="D11" i="2"/>
  <c r="E11" i="2"/>
  <c r="B12" i="2"/>
  <c r="C12" i="2"/>
  <c r="E12" i="2"/>
  <c r="B13" i="2"/>
  <c r="C13" i="2"/>
  <c r="D13" i="2"/>
  <c r="E13" i="2"/>
  <c r="B14" i="2"/>
  <c r="C14" i="2"/>
  <c r="D14" i="2"/>
  <c r="E14" i="2"/>
  <c r="A15" i="2"/>
  <c r="B15" i="2"/>
  <c r="C15" i="2"/>
  <c r="D15" i="2"/>
  <c r="E15" i="2"/>
  <c r="A17" i="2"/>
  <c r="B17" i="2"/>
  <c r="C17" i="2"/>
  <c r="D17" i="2"/>
  <c r="E17" i="2"/>
  <c r="A18" i="2"/>
  <c r="B18" i="2"/>
  <c r="C18" i="2"/>
  <c r="D18" i="2"/>
  <c r="E18" i="2"/>
  <c r="A19" i="2"/>
  <c r="B19" i="2"/>
  <c r="C19" i="2"/>
  <c r="D19" i="2"/>
  <c r="E19" i="2"/>
  <c r="A20" i="2"/>
  <c r="B20" i="2"/>
  <c r="C20" i="2"/>
  <c r="D20" i="2"/>
  <c r="E20" i="2"/>
  <c r="A21" i="2"/>
  <c r="B21" i="2"/>
  <c r="D21" i="2"/>
  <c r="E21" i="2"/>
  <c r="A22" i="2"/>
  <c r="B22" i="2"/>
  <c r="D22" i="2"/>
  <c r="E22" i="2"/>
  <c r="A23" i="2"/>
  <c r="B23" i="2"/>
  <c r="C23" i="2"/>
  <c r="D23" i="2"/>
  <c r="E23" i="2"/>
  <c r="A24" i="2"/>
  <c r="B24" i="2"/>
  <c r="C24" i="2"/>
  <c r="D24" i="2"/>
  <c r="E24" i="2"/>
  <c r="A25" i="2"/>
  <c r="B25" i="2"/>
  <c r="C25" i="2"/>
  <c r="D25" i="2"/>
  <c r="E25" i="2"/>
  <c r="A26" i="2"/>
  <c r="B26" i="2"/>
  <c r="C26" i="2"/>
  <c r="D26" i="2"/>
  <c r="E26" i="2"/>
  <c r="A27" i="2"/>
  <c r="B27" i="2"/>
  <c r="C27" i="2"/>
  <c r="D27" i="2"/>
  <c r="E27" i="2"/>
  <c r="A28" i="2"/>
  <c r="B28" i="2"/>
  <c r="C28" i="2"/>
  <c r="D28" i="2"/>
  <c r="E28" i="2"/>
  <c r="A30" i="2"/>
  <c r="B30" i="2"/>
  <c r="C30" i="2"/>
  <c r="D30" i="2"/>
  <c r="E30" i="2"/>
  <c r="A31" i="2"/>
  <c r="B31" i="2"/>
  <c r="C31" i="2"/>
  <c r="D31" i="2"/>
  <c r="E31" i="2"/>
  <c r="A32" i="2"/>
  <c r="B32" i="2"/>
  <c r="C32" i="2"/>
  <c r="D32" i="2"/>
  <c r="E32" i="2"/>
  <c r="A33" i="2"/>
  <c r="B33" i="2"/>
  <c r="C33" i="2"/>
  <c r="D33" i="2"/>
  <c r="E33" i="2"/>
  <c r="A34" i="2"/>
  <c r="B34" i="2"/>
  <c r="C34" i="2"/>
  <c r="D34" i="2"/>
  <c r="E34" i="2"/>
  <c r="A35" i="2"/>
  <c r="B35" i="2"/>
  <c r="C35" i="2"/>
  <c r="D35" i="2"/>
  <c r="E35" i="2"/>
  <c r="A36" i="2"/>
  <c r="B36" i="2"/>
  <c r="C36" i="2"/>
  <c r="D36" i="2"/>
  <c r="E36" i="2"/>
  <c r="A37" i="2"/>
  <c r="B37" i="2"/>
  <c r="C37" i="2"/>
  <c r="D37" i="2"/>
  <c r="E37" i="2"/>
  <c r="A38" i="2"/>
  <c r="B38" i="2"/>
  <c r="C38" i="2"/>
  <c r="D38" i="2"/>
  <c r="E38" i="2"/>
  <c r="A39" i="2"/>
  <c r="B39" i="2"/>
  <c r="C39" i="2"/>
  <c r="D39" i="2"/>
  <c r="E39" i="2"/>
  <c r="A40" i="2"/>
  <c r="B40" i="2"/>
  <c r="C40" i="2"/>
  <c r="D40" i="2"/>
  <c r="E40" i="2"/>
  <c r="A41" i="2"/>
  <c r="B41" i="2"/>
  <c r="C41" i="2"/>
  <c r="D41" i="2"/>
  <c r="E41" i="2"/>
  <c r="A43" i="2"/>
  <c r="A44" i="2"/>
  <c r="B44" i="2"/>
  <c r="C44" i="2"/>
  <c r="A45" i="2"/>
  <c r="B45" i="2"/>
  <c r="C45" i="2"/>
  <c r="A46" i="2"/>
  <c r="B46" i="2"/>
  <c r="C46" i="2"/>
  <c r="A47" i="2"/>
  <c r="B47" i="2"/>
  <c r="C47" i="2"/>
  <c r="A48" i="2"/>
  <c r="B48" i="2"/>
  <c r="C48" i="2"/>
  <c r="A49" i="2"/>
  <c r="B49" i="2"/>
  <c r="C49" i="2"/>
  <c r="A50" i="2"/>
  <c r="B50" i="2"/>
  <c r="C50" i="2"/>
  <c r="A51" i="2"/>
  <c r="B51" i="2"/>
  <c r="C51" i="2"/>
  <c r="A52" i="2"/>
  <c r="B52" i="2"/>
  <c r="C52" i="2"/>
  <c r="A53" i="2"/>
  <c r="B53" i="2"/>
  <c r="C53" i="2"/>
  <c r="A54" i="2"/>
  <c r="B54" i="2"/>
  <c r="C54" i="2"/>
  <c r="B1" i="15"/>
  <c r="C1" i="15"/>
  <c r="D1" i="15"/>
  <c r="E1" i="15"/>
  <c r="F1" i="15"/>
  <c r="G1" i="15"/>
  <c r="H1" i="15"/>
  <c r="I1" i="15"/>
  <c r="J1" i="15"/>
  <c r="K1" i="15"/>
  <c r="L1" i="15"/>
  <c r="M1" i="15"/>
  <c r="N1" i="15"/>
  <c r="O1" i="15"/>
  <c r="P1" i="15"/>
  <c r="Q1" i="15"/>
  <c r="R1" i="15"/>
  <c r="S1" i="15"/>
  <c r="T1" i="15"/>
  <c r="U1" i="15"/>
  <c r="V1" i="15"/>
  <c r="W1" i="15"/>
  <c r="X1" i="15"/>
  <c r="Y1" i="15"/>
  <c r="Z1" i="15"/>
  <c r="AA1" i="15"/>
  <c r="AB1" i="15"/>
  <c r="AC1" i="15"/>
  <c r="AD1" i="15"/>
  <c r="AE1" i="15"/>
  <c r="AF1" i="15"/>
  <c r="AG1" i="15"/>
  <c r="AH1" i="15"/>
  <c r="AI1" i="15"/>
  <c r="AJ1" i="15"/>
  <c r="AK1" i="15"/>
  <c r="AL1" i="15"/>
  <c r="AM1" i="15"/>
  <c r="AN1" i="15"/>
  <c r="AO1" i="15"/>
  <c r="B3" i="15"/>
  <c r="C3" i="15"/>
  <c r="D3" i="15"/>
  <c r="E3" i="15"/>
  <c r="F3" i="15"/>
  <c r="G3" i="15"/>
  <c r="H3" i="15"/>
  <c r="I3" i="15"/>
  <c r="J3" i="15"/>
  <c r="K3" i="15"/>
  <c r="L3" i="15"/>
  <c r="M3" i="15"/>
  <c r="N3" i="15"/>
  <c r="O3" i="15"/>
  <c r="P3" i="15"/>
  <c r="Q3" i="15"/>
  <c r="R3" i="15"/>
  <c r="S3" i="15"/>
  <c r="T3" i="15"/>
  <c r="U3" i="15"/>
  <c r="V3" i="15"/>
  <c r="W3" i="15"/>
  <c r="X3" i="15"/>
  <c r="Y3" i="15"/>
  <c r="Z3" i="15"/>
  <c r="AA3" i="15"/>
  <c r="AB3" i="15"/>
  <c r="AC3" i="15"/>
  <c r="AD3" i="15"/>
  <c r="AE3" i="15"/>
  <c r="AF3" i="15"/>
  <c r="AG3" i="15"/>
  <c r="AH3" i="15"/>
  <c r="AI3" i="15"/>
  <c r="AJ3" i="15"/>
  <c r="AK3" i="15"/>
  <c r="AL3" i="15"/>
  <c r="AM3" i="15"/>
  <c r="AN3" i="15"/>
  <c r="AO3" i="15"/>
  <c r="B4" i="15"/>
  <c r="C4" i="15"/>
  <c r="D4" i="15"/>
  <c r="E4" i="15"/>
  <c r="F4" i="15"/>
  <c r="G4" i="15"/>
  <c r="H4" i="15"/>
  <c r="I4" i="15"/>
  <c r="J4" i="15"/>
  <c r="K4" i="15"/>
  <c r="L4" i="15"/>
  <c r="M4" i="15"/>
  <c r="N4" i="15"/>
  <c r="O4" i="15"/>
  <c r="P4" i="15"/>
  <c r="Q4" i="15"/>
  <c r="R4" i="15"/>
  <c r="S4" i="15"/>
  <c r="T4" i="15"/>
  <c r="U4" i="15"/>
  <c r="V4" i="15"/>
  <c r="W4" i="15"/>
  <c r="X4" i="15"/>
  <c r="Y4" i="15"/>
  <c r="Z4" i="15"/>
  <c r="AA4" i="15"/>
  <c r="AB4" i="15"/>
  <c r="AC4" i="15"/>
  <c r="AD4" i="15"/>
  <c r="AE4" i="15"/>
  <c r="AF4" i="15"/>
  <c r="AG4" i="15"/>
  <c r="AH4" i="15"/>
  <c r="AI4" i="15"/>
  <c r="AJ4" i="15"/>
  <c r="AK4" i="15"/>
  <c r="AL4" i="15"/>
  <c r="AM4" i="15"/>
  <c r="AN4" i="15"/>
  <c r="AO4" i="15"/>
  <c r="B5" i="15"/>
  <c r="C5" i="15"/>
  <c r="D5" i="15"/>
  <c r="E5" i="15"/>
  <c r="F5" i="15"/>
  <c r="G5" i="15"/>
  <c r="H5" i="15"/>
  <c r="I5" i="15"/>
  <c r="J5" i="15"/>
  <c r="K5" i="15"/>
  <c r="L5" i="15"/>
  <c r="M5" i="15"/>
  <c r="N5" i="15"/>
  <c r="O5" i="15"/>
  <c r="P5" i="15"/>
  <c r="Q5" i="15"/>
  <c r="R5" i="15"/>
  <c r="S5" i="15"/>
  <c r="T5" i="15"/>
  <c r="U5" i="15"/>
  <c r="V5" i="15"/>
  <c r="W5" i="15"/>
  <c r="X5" i="15"/>
  <c r="Y5" i="15"/>
  <c r="Z5" i="15"/>
  <c r="AA5" i="15"/>
  <c r="AB5" i="15"/>
  <c r="AC5" i="15"/>
  <c r="AD5" i="15"/>
  <c r="AE5" i="15"/>
  <c r="AF5" i="15"/>
  <c r="AG5" i="15"/>
  <c r="AH5" i="15"/>
  <c r="AI5" i="15"/>
  <c r="AJ5" i="15"/>
  <c r="AK5" i="15"/>
  <c r="AL5" i="15"/>
  <c r="AM5" i="15"/>
  <c r="AN5" i="15"/>
  <c r="AO5" i="15"/>
  <c r="B6" i="15"/>
  <c r="C6" i="15"/>
  <c r="D6" i="15"/>
  <c r="E6" i="15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AK6" i="15"/>
  <c r="AL6" i="15"/>
  <c r="AM6" i="15"/>
  <c r="AN6" i="15"/>
  <c r="AO6" i="15"/>
  <c r="B8" i="15"/>
  <c r="C8" i="15"/>
  <c r="D8" i="15"/>
  <c r="E8" i="15"/>
  <c r="F8" i="15"/>
  <c r="G8" i="15"/>
  <c r="H8" i="15"/>
  <c r="I8" i="15"/>
  <c r="J8" i="15"/>
  <c r="K8" i="15"/>
  <c r="L8" i="15"/>
  <c r="M8" i="15"/>
  <c r="N8" i="15"/>
  <c r="O8" i="15"/>
  <c r="P8" i="15"/>
  <c r="Q8" i="15"/>
  <c r="R8" i="15"/>
  <c r="S8" i="15"/>
  <c r="T8" i="15"/>
  <c r="U8" i="15"/>
  <c r="V8" i="15"/>
  <c r="W8" i="15"/>
  <c r="X8" i="15"/>
  <c r="Y8" i="15"/>
  <c r="Z8" i="15"/>
  <c r="AA8" i="15"/>
  <c r="AB8" i="15"/>
  <c r="AC8" i="15"/>
  <c r="AD8" i="15"/>
  <c r="AE8" i="15"/>
  <c r="AF8" i="15"/>
  <c r="AG8" i="15"/>
  <c r="AH8" i="15"/>
  <c r="AI8" i="15"/>
  <c r="AJ8" i="15"/>
  <c r="AK8" i="15"/>
  <c r="AL8" i="15"/>
  <c r="AM8" i="15"/>
  <c r="AN8" i="15"/>
  <c r="AO8" i="15"/>
  <c r="B9" i="15"/>
  <c r="C9" i="15"/>
  <c r="D9" i="15"/>
  <c r="E9" i="15"/>
  <c r="F9" i="15"/>
  <c r="G9" i="15"/>
  <c r="H9" i="15"/>
  <c r="I9" i="15"/>
  <c r="J9" i="15"/>
  <c r="K9" i="15"/>
  <c r="L9" i="15"/>
  <c r="M9" i="15"/>
  <c r="N9" i="15"/>
  <c r="O9" i="15"/>
  <c r="P9" i="15"/>
  <c r="Q9" i="15"/>
  <c r="R9" i="15"/>
  <c r="S9" i="15"/>
  <c r="T9" i="15"/>
  <c r="U9" i="15"/>
  <c r="V9" i="15"/>
  <c r="W9" i="15"/>
  <c r="X9" i="15"/>
  <c r="Y9" i="15"/>
  <c r="Z9" i="15"/>
  <c r="AA9" i="15"/>
  <c r="AB9" i="15"/>
  <c r="AC9" i="15"/>
  <c r="AD9" i="15"/>
  <c r="AE9" i="15"/>
  <c r="AF9" i="15"/>
  <c r="AG9" i="15"/>
  <c r="AH9" i="15"/>
  <c r="AI9" i="15"/>
  <c r="AJ9" i="15"/>
  <c r="AK9" i="15"/>
  <c r="AL9" i="15"/>
  <c r="AM9" i="15"/>
  <c r="AN9" i="15"/>
  <c r="AO9" i="15"/>
  <c r="B10" i="15"/>
  <c r="C10" i="15"/>
  <c r="D10" i="15"/>
  <c r="E10" i="15"/>
  <c r="F10" i="15"/>
  <c r="G10" i="15"/>
  <c r="H10" i="15"/>
  <c r="I10" i="15"/>
  <c r="J10" i="15"/>
  <c r="K10" i="15"/>
  <c r="L10" i="15"/>
  <c r="M10" i="15"/>
  <c r="N10" i="15"/>
  <c r="O10" i="15"/>
  <c r="P10" i="15"/>
  <c r="Q10" i="15"/>
  <c r="R10" i="15"/>
  <c r="S10" i="15"/>
  <c r="T10" i="15"/>
  <c r="U10" i="15"/>
  <c r="V10" i="15"/>
  <c r="W10" i="15"/>
  <c r="X10" i="15"/>
  <c r="Y10" i="15"/>
  <c r="Z10" i="15"/>
  <c r="AA10" i="15"/>
  <c r="AB10" i="15"/>
  <c r="AC10" i="15"/>
  <c r="AD10" i="15"/>
  <c r="AE10" i="15"/>
  <c r="AF10" i="15"/>
  <c r="AG10" i="15"/>
  <c r="AH10" i="15"/>
  <c r="AI10" i="15"/>
  <c r="AJ10" i="15"/>
  <c r="AK10" i="15"/>
  <c r="AL10" i="15"/>
  <c r="AM10" i="15"/>
  <c r="AN10" i="15"/>
  <c r="AO10" i="15"/>
  <c r="B11" i="15"/>
  <c r="C11" i="15"/>
  <c r="D11" i="15"/>
  <c r="E11" i="15"/>
  <c r="F11" i="15"/>
  <c r="G11" i="15"/>
  <c r="H11" i="15"/>
  <c r="I11" i="15"/>
  <c r="J11" i="15"/>
  <c r="K11" i="15"/>
  <c r="L11" i="15"/>
  <c r="M11" i="15"/>
  <c r="N11" i="15"/>
  <c r="O11" i="15"/>
  <c r="P11" i="15"/>
  <c r="Q11" i="15"/>
  <c r="R11" i="15"/>
  <c r="S11" i="15"/>
  <c r="T11" i="15"/>
  <c r="U11" i="15"/>
  <c r="V11" i="15"/>
  <c r="W11" i="15"/>
  <c r="X11" i="15"/>
  <c r="Y11" i="15"/>
  <c r="Z11" i="15"/>
  <c r="AA11" i="15"/>
  <c r="AB11" i="15"/>
  <c r="AC11" i="15"/>
  <c r="AD11" i="15"/>
  <c r="AE11" i="15"/>
  <c r="AF11" i="15"/>
  <c r="AG11" i="15"/>
  <c r="AH11" i="15"/>
  <c r="AI11" i="15"/>
  <c r="AJ11" i="15"/>
  <c r="AK11" i="15"/>
  <c r="AL11" i="15"/>
  <c r="AM11" i="15"/>
  <c r="AN11" i="15"/>
  <c r="AO11" i="15"/>
  <c r="B13" i="15"/>
  <c r="C13" i="15"/>
  <c r="D13" i="15"/>
  <c r="E13" i="15"/>
  <c r="F13" i="15"/>
  <c r="G13" i="15"/>
  <c r="H13" i="15"/>
  <c r="I13" i="15"/>
  <c r="J13" i="15"/>
  <c r="K13" i="15"/>
  <c r="L13" i="15"/>
  <c r="M13" i="15"/>
  <c r="N13" i="15"/>
  <c r="O13" i="15"/>
  <c r="P13" i="15"/>
  <c r="Q13" i="15"/>
  <c r="R13" i="15"/>
  <c r="S13" i="15"/>
  <c r="T13" i="15"/>
  <c r="U13" i="15"/>
  <c r="B14" i="15"/>
  <c r="C14" i="15"/>
  <c r="D14" i="15"/>
  <c r="E14" i="15"/>
  <c r="F14" i="15"/>
  <c r="G14" i="15"/>
  <c r="H14" i="15"/>
  <c r="I14" i="15"/>
  <c r="J14" i="15"/>
  <c r="K14" i="15"/>
  <c r="L14" i="15"/>
  <c r="M14" i="15"/>
  <c r="N14" i="15"/>
  <c r="O14" i="15"/>
  <c r="P14" i="15"/>
  <c r="Q14" i="15"/>
  <c r="R14" i="15"/>
  <c r="S14" i="15"/>
  <c r="T14" i="15"/>
  <c r="U14" i="15"/>
  <c r="B15" i="15"/>
  <c r="C15" i="15"/>
  <c r="D15" i="15"/>
  <c r="E15" i="15"/>
  <c r="F15" i="15"/>
  <c r="G15" i="15"/>
  <c r="H15" i="15"/>
  <c r="I15" i="15"/>
  <c r="J15" i="15"/>
  <c r="K15" i="15"/>
  <c r="L15" i="15"/>
  <c r="M15" i="15"/>
  <c r="N15" i="15"/>
  <c r="O15" i="15"/>
  <c r="P15" i="15"/>
  <c r="Q15" i="15"/>
  <c r="R15" i="15"/>
  <c r="S15" i="15"/>
  <c r="T15" i="15"/>
  <c r="U15" i="15"/>
  <c r="B16" i="15"/>
  <c r="C16" i="15"/>
  <c r="D16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T16" i="15"/>
  <c r="U16" i="15"/>
  <c r="A4" i="10"/>
  <c r="B4" i="10"/>
  <c r="C4" i="10"/>
  <c r="D4" i="10"/>
  <c r="E4" i="10"/>
  <c r="A5" i="10"/>
  <c r="B5" i="10"/>
  <c r="C5" i="10"/>
  <c r="D5" i="10"/>
  <c r="E5" i="10"/>
  <c r="A6" i="10"/>
  <c r="B6" i="10"/>
  <c r="C6" i="10"/>
  <c r="D6" i="10"/>
  <c r="E6" i="10"/>
  <c r="A7" i="10"/>
  <c r="B7" i="10"/>
  <c r="C7" i="10"/>
  <c r="D7" i="10"/>
  <c r="E7" i="10"/>
  <c r="A8" i="10"/>
  <c r="B8" i="10"/>
  <c r="C8" i="10"/>
  <c r="D8" i="10"/>
  <c r="E8" i="10"/>
  <c r="A9" i="10"/>
  <c r="B9" i="10"/>
  <c r="C9" i="10"/>
  <c r="D9" i="10"/>
  <c r="E9" i="10"/>
  <c r="A10" i="10"/>
  <c r="B10" i="10"/>
  <c r="C10" i="10"/>
  <c r="D10" i="10"/>
  <c r="E10" i="10"/>
  <c r="A11" i="10"/>
  <c r="B11" i="10"/>
  <c r="C11" i="10"/>
  <c r="D11" i="10"/>
  <c r="E11" i="10"/>
  <c r="A12" i="10"/>
  <c r="B12" i="10"/>
  <c r="C12" i="10"/>
  <c r="D12" i="10"/>
  <c r="E12" i="10"/>
  <c r="A13" i="10"/>
  <c r="B13" i="10"/>
  <c r="C13" i="10"/>
  <c r="D13" i="10"/>
  <c r="E13" i="10"/>
  <c r="A14" i="10"/>
  <c r="B14" i="10"/>
  <c r="C14" i="10"/>
  <c r="D14" i="10"/>
  <c r="E14" i="10"/>
  <c r="A15" i="10"/>
  <c r="B15" i="10"/>
  <c r="C15" i="10"/>
  <c r="D15" i="10"/>
  <c r="E15" i="10"/>
  <c r="A17" i="10"/>
  <c r="B17" i="10"/>
  <c r="C17" i="10"/>
  <c r="D17" i="10"/>
  <c r="E17" i="10"/>
  <c r="A18" i="10"/>
  <c r="B18" i="10"/>
  <c r="C18" i="10"/>
  <c r="D18" i="10"/>
  <c r="E18" i="10"/>
  <c r="A19" i="10"/>
  <c r="B19" i="10"/>
  <c r="C19" i="10"/>
  <c r="D19" i="10"/>
  <c r="E19" i="10"/>
  <c r="A20" i="10"/>
  <c r="B20" i="10"/>
  <c r="C20" i="10"/>
  <c r="D20" i="10"/>
  <c r="E20" i="10"/>
  <c r="A21" i="10"/>
  <c r="B21" i="10"/>
  <c r="C21" i="10"/>
  <c r="D21" i="10"/>
  <c r="E21" i="10"/>
  <c r="A22" i="10"/>
  <c r="B22" i="10"/>
  <c r="C22" i="10"/>
  <c r="D22" i="10"/>
  <c r="E22" i="10"/>
  <c r="A23" i="10"/>
  <c r="B23" i="10"/>
  <c r="C23" i="10"/>
  <c r="D23" i="10"/>
  <c r="E23" i="10"/>
  <c r="A24" i="10"/>
  <c r="B24" i="10"/>
  <c r="C24" i="10"/>
  <c r="D24" i="10"/>
  <c r="E24" i="10"/>
  <c r="A25" i="10"/>
  <c r="B25" i="10"/>
  <c r="C25" i="10"/>
  <c r="D25" i="10"/>
  <c r="E25" i="10"/>
  <c r="A26" i="10"/>
  <c r="B26" i="10"/>
  <c r="C26" i="10"/>
  <c r="D26" i="10"/>
  <c r="E26" i="10"/>
  <c r="A27" i="10"/>
  <c r="B27" i="10"/>
  <c r="C27" i="10"/>
  <c r="D27" i="10"/>
  <c r="E27" i="10"/>
  <c r="A28" i="10"/>
  <c r="B28" i="10"/>
  <c r="C28" i="10"/>
  <c r="D28" i="10"/>
  <c r="E28" i="10"/>
  <c r="A30" i="10"/>
  <c r="B30" i="10"/>
  <c r="C30" i="10"/>
  <c r="D30" i="10"/>
  <c r="E30" i="10"/>
  <c r="A31" i="10"/>
  <c r="B31" i="10"/>
  <c r="C31" i="10"/>
  <c r="D31" i="10"/>
  <c r="E31" i="10"/>
  <c r="A32" i="10"/>
  <c r="B32" i="10"/>
  <c r="C32" i="10"/>
  <c r="D32" i="10"/>
  <c r="E32" i="10"/>
  <c r="A33" i="10"/>
  <c r="B33" i="10"/>
  <c r="C33" i="10"/>
  <c r="D33" i="10"/>
  <c r="E33" i="10"/>
  <c r="A34" i="10"/>
  <c r="B34" i="10"/>
  <c r="C34" i="10"/>
  <c r="D34" i="10"/>
  <c r="E34" i="10"/>
  <c r="A35" i="10"/>
  <c r="B35" i="10"/>
  <c r="C35" i="10"/>
  <c r="D35" i="10"/>
  <c r="E35" i="10"/>
  <c r="A36" i="10"/>
  <c r="B36" i="10"/>
  <c r="C36" i="10"/>
  <c r="E36" i="10"/>
  <c r="A37" i="10"/>
  <c r="B37" i="10"/>
  <c r="D37" i="10"/>
  <c r="E37" i="10"/>
  <c r="A38" i="10"/>
  <c r="B38" i="10"/>
  <c r="C38" i="10"/>
  <c r="D38" i="10"/>
  <c r="E38" i="10"/>
  <c r="A39" i="10"/>
  <c r="B39" i="10"/>
  <c r="C39" i="10"/>
  <c r="D39" i="10"/>
  <c r="E39" i="10"/>
  <c r="A40" i="10"/>
  <c r="B40" i="10"/>
  <c r="C40" i="10"/>
  <c r="D40" i="10"/>
  <c r="E40" i="10"/>
  <c r="A41" i="10"/>
  <c r="B41" i="10"/>
  <c r="C41" i="10"/>
  <c r="D41" i="10"/>
  <c r="E41" i="10"/>
  <c r="A43" i="10"/>
  <c r="A44" i="10"/>
  <c r="B44" i="10"/>
  <c r="C44" i="10"/>
  <c r="A45" i="10"/>
  <c r="B45" i="10"/>
  <c r="C45" i="10"/>
  <c r="A46" i="10"/>
  <c r="B46" i="10"/>
  <c r="C46" i="10"/>
  <c r="A47" i="10"/>
  <c r="B47" i="10"/>
  <c r="C47" i="10"/>
  <c r="A48" i="10"/>
  <c r="B48" i="10"/>
  <c r="C48" i="10"/>
  <c r="A49" i="10"/>
  <c r="B49" i="10"/>
  <c r="C49" i="10"/>
  <c r="A50" i="10"/>
  <c r="B50" i="10"/>
  <c r="C50" i="10"/>
  <c r="A51" i="10"/>
  <c r="B51" i="10"/>
  <c r="C51" i="10"/>
  <c r="A52" i="10"/>
  <c r="B52" i="10"/>
  <c r="A53" i="10"/>
  <c r="B53" i="10"/>
  <c r="C53" i="10"/>
  <c r="A54" i="10"/>
  <c r="B54" i="10"/>
  <c r="C54" i="10"/>
  <c r="A4" i="8"/>
  <c r="B4" i="8"/>
  <c r="C4" i="8"/>
  <c r="D4" i="8"/>
  <c r="E4" i="8"/>
  <c r="A5" i="8"/>
  <c r="B5" i="8"/>
  <c r="C5" i="8"/>
  <c r="D5" i="8"/>
  <c r="E5" i="8"/>
  <c r="A6" i="8"/>
  <c r="B6" i="8"/>
  <c r="C6" i="8"/>
  <c r="D6" i="8"/>
  <c r="E6" i="8"/>
  <c r="A7" i="8"/>
  <c r="B7" i="8"/>
  <c r="C7" i="8"/>
  <c r="D7" i="8"/>
  <c r="E7" i="8"/>
  <c r="A8" i="8"/>
  <c r="B8" i="8"/>
  <c r="C8" i="8"/>
  <c r="D8" i="8"/>
  <c r="E8" i="8"/>
  <c r="A9" i="8"/>
  <c r="B9" i="8"/>
  <c r="C9" i="8"/>
  <c r="D9" i="8"/>
  <c r="E9" i="8"/>
  <c r="A10" i="8"/>
  <c r="B10" i="8"/>
  <c r="C10" i="8"/>
  <c r="D10" i="8"/>
  <c r="E10" i="8"/>
  <c r="A11" i="8"/>
  <c r="B11" i="8"/>
  <c r="C11" i="8"/>
  <c r="D11" i="8"/>
  <c r="E11" i="8"/>
  <c r="A12" i="8"/>
  <c r="B12" i="8"/>
  <c r="C12" i="8"/>
  <c r="D12" i="8"/>
  <c r="E12" i="8"/>
  <c r="A13" i="8"/>
  <c r="B13" i="8"/>
  <c r="C13" i="8"/>
  <c r="D13" i="8"/>
  <c r="E13" i="8"/>
  <c r="A14" i="8"/>
  <c r="B14" i="8"/>
  <c r="C14" i="8"/>
  <c r="D14" i="8"/>
  <c r="E14" i="8"/>
  <c r="A15" i="8"/>
  <c r="B15" i="8"/>
  <c r="C15" i="8"/>
  <c r="D15" i="8"/>
  <c r="E15" i="8"/>
  <c r="A17" i="8"/>
  <c r="B17" i="8"/>
  <c r="C17" i="8"/>
  <c r="D17" i="8"/>
  <c r="E17" i="8"/>
  <c r="A18" i="8"/>
  <c r="B18" i="8"/>
  <c r="C18" i="8"/>
  <c r="D18" i="8"/>
  <c r="E18" i="8"/>
  <c r="A19" i="8"/>
  <c r="B19" i="8"/>
  <c r="C19" i="8"/>
  <c r="D19" i="8"/>
  <c r="E19" i="8"/>
  <c r="A20" i="8"/>
  <c r="B20" i="8"/>
  <c r="C20" i="8"/>
  <c r="D20" i="8"/>
  <c r="E20" i="8"/>
  <c r="A21" i="8"/>
  <c r="B21" i="8"/>
  <c r="C21" i="8"/>
  <c r="D21" i="8"/>
  <c r="E21" i="8"/>
  <c r="A22" i="8"/>
  <c r="B22" i="8"/>
  <c r="C22" i="8"/>
  <c r="D22" i="8"/>
  <c r="E22" i="8"/>
  <c r="A23" i="8"/>
  <c r="B23" i="8"/>
  <c r="C23" i="8"/>
  <c r="D23" i="8"/>
  <c r="E23" i="8"/>
  <c r="A24" i="8"/>
  <c r="B24" i="8"/>
  <c r="C24" i="8"/>
  <c r="D24" i="8"/>
  <c r="E24" i="8"/>
  <c r="A25" i="8"/>
  <c r="B25" i="8"/>
  <c r="C25" i="8"/>
  <c r="D25" i="8"/>
  <c r="E25" i="8"/>
  <c r="A26" i="8"/>
  <c r="B26" i="8"/>
  <c r="C26" i="8"/>
  <c r="D26" i="8"/>
  <c r="E26" i="8"/>
  <c r="A27" i="8"/>
  <c r="B27" i="8"/>
  <c r="C27" i="8"/>
  <c r="D27" i="8"/>
  <c r="E27" i="8"/>
  <c r="A28" i="8"/>
  <c r="B28" i="8"/>
  <c r="C28" i="8"/>
  <c r="D28" i="8"/>
  <c r="E28" i="8"/>
  <c r="A30" i="8"/>
  <c r="B30" i="8"/>
  <c r="C30" i="8"/>
  <c r="D30" i="8"/>
  <c r="E30" i="8"/>
  <c r="A31" i="8"/>
  <c r="B31" i="8"/>
  <c r="C31" i="8"/>
  <c r="D31" i="8"/>
  <c r="E31" i="8"/>
  <c r="A32" i="8"/>
  <c r="B32" i="8"/>
  <c r="C32" i="8"/>
  <c r="D32" i="8"/>
  <c r="E32" i="8"/>
  <c r="A33" i="8"/>
  <c r="B33" i="8"/>
  <c r="C33" i="8"/>
  <c r="D33" i="8"/>
  <c r="E33" i="8"/>
  <c r="A34" i="8"/>
  <c r="C34" i="8"/>
  <c r="D34" i="8"/>
  <c r="E34" i="8"/>
  <c r="A35" i="8"/>
  <c r="B35" i="8"/>
  <c r="C35" i="8"/>
  <c r="D35" i="8"/>
  <c r="E35" i="8"/>
  <c r="A36" i="8"/>
  <c r="B36" i="8"/>
  <c r="C36" i="8"/>
  <c r="D36" i="8"/>
  <c r="E36" i="8"/>
  <c r="A37" i="8"/>
  <c r="B37" i="8"/>
  <c r="C37" i="8"/>
  <c r="D37" i="8"/>
  <c r="E37" i="8"/>
  <c r="A38" i="8"/>
  <c r="B38" i="8"/>
  <c r="C38" i="8"/>
  <c r="D38" i="8"/>
  <c r="E38" i="8"/>
  <c r="A39" i="8"/>
  <c r="B39" i="8"/>
  <c r="C39" i="8"/>
  <c r="D39" i="8"/>
  <c r="E39" i="8"/>
  <c r="A40" i="8"/>
  <c r="B40" i="8"/>
  <c r="C40" i="8"/>
  <c r="D40" i="8"/>
  <c r="E40" i="8"/>
  <c r="A41" i="8"/>
  <c r="B41" i="8"/>
  <c r="C41" i="8"/>
  <c r="D41" i="8"/>
  <c r="E41" i="8"/>
  <c r="A43" i="8"/>
  <c r="A44" i="8"/>
  <c r="C44" i="8"/>
  <c r="A45" i="8"/>
  <c r="B45" i="8"/>
  <c r="C45" i="8"/>
  <c r="A46" i="8"/>
  <c r="B46" i="8"/>
  <c r="C46" i="8"/>
  <c r="A47" i="8"/>
  <c r="B47" i="8"/>
  <c r="C47" i="8"/>
  <c r="A48" i="8"/>
  <c r="B48" i="8"/>
  <c r="C48" i="8"/>
  <c r="A49" i="8"/>
  <c r="B49" i="8"/>
  <c r="C49" i="8"/>
  <c r="A50" i="8"/>
  <c r="B50" i="8"/>
  <c r="C50" i="8"/>
  <c r="A51" i="8"/>
  <c r="B51" i="8"/>
  <c r="C51" i="8"/>
  <c r="A52" i="8"/>
  <c r="B52" i="8"/>
  <c r="C52" i="8"/>
  <c r="A53" i="8"/>
  <c r="B53" i="8"/>
  <c r="C53" i="8"/>
  <c r="E53" i="8"/>
  <c r="A54" i="8"/>
  <c r="B54" i="8"/>
  <c r="C54" i="8"/>
  <c r="E54" i="8"/>
  <c r="A4" i="16"/>
  <c r="B4" i="16"/>
  <c r="C4" i="16"/>
  <c r="D4" i="16"/>
  <c r="E4" i="16"/>
  <c r="A5" i="16"/>
  <c r="B5" i="16"/>
  <c r="C5" i="16"/>
  <c r="D5" i="16"/>
  <c r="E5" i="16"/>
  <c r="A6" i="16"/>
  <c r="B6" i="16"/>
  <c r="C6" i="16"/>
  <c r="D6" i="16"/>
  <c r="E6" i="16"/>
  <c r="A7" i="16"/>
  <c r="B7" i="16"/>
  <c r="C7" i="16"/>
  <c r="D7" i="16"/>
  <c r="E7" i="16"/>
  <c r="A8" i="16"/>
  <c r="B8" i="16"/>
  <c r="C8" i="16"/>
  <c r="D8" i="16"/>
  <c r="E8" i="16"/>
  <c r="A9" i="16"/>
  <c r="B9" i="16"/>
  <c r="C9" i="16"/>
  <c r="D9" i="16"/>
  <c r="E9" i="16"/>
  <c r="A10" i="16"/>
  <c r="B10" i="16"/>
  <c r="C10" i="16"/>
  <c r="D10" i="16"/>
  <c r="E10" i="16"/>
  <c r="A11" i="16"/>
  <c r="B11" i="16"/>
  <c r="C11" i="16"/>
  <c r="D11" i="16"/>
  <c r="E11" i="16"/>
  <c r="A12" i="16"/>
  <c r="B12" i="16"/>
  <c r="C12" i="16"/>
  <c r="D12" i="16"/>
  <c r="E12" i="16"/>
  <c r="A13" i="16"/>
  <c r="B13" i="16"/>
  <c r="C13" i="16"/>
  <c r="D13" i="16"/>
  <c r="E13" i="16"/>
  <c r="A14" i="16"/>
  <c r="B14" i="16"/>
  <c r="C14" i="16"/>
  <c r="D14" i="16"/>
  <c r="E14" i="16"/>
  <c r="A15" i="16"/>
  <c r="B15" i="16"/>
  <c r="C15" i="16"/>
  <c r="D15" i="16"/>
  <c r="E15" i="16"/>
  <c r="A17" i="16"/>
  <c r="B17" i="16"/>
  <c r="C17" i="16"/>
  <c r="D17" i="16"/>
  <c r="E17" i="16"/>
  <c r="A18" i="16"/>
  <c r="B18" i="16"/>
  <c r="C18" i="16"/>
  <c r="D18" i="16"/>
  <c r="E18" i="16"/>
  <c r="A19" i="16"/>
  <c r="B19" i="16"/>
  <c r="C19" i="16"/>
  <c r="D19" i="16"/>
  <c r="E19" i="16"/>
  <c r="A20" i="16"/>
  <c r="B20" i="16"/>
  <c r="C20" i="16"/>
  <c r="D20" i="16"/>
  <c r="E20" i="16"/>
  <c r="A21" i="16"/>
  <c r="B21" i="16"/>
  <c r="C21" i="16"/>
  <c r="D21" i="16"/>
  <c r="E21" i="16"/>
  <c r="A22" i="16"/>
  <c r="B22" i="16"/>
  <c r="C22" i="16"/>
  <c r="D22" i="16"/>
  <c r="E22" i="16"/>
  <c r="A23" i="16"/>
  <c r="B23" i="16"/>
  <c r="C23" i="16"/>
  <c r="D23" i="16"/>
  <c r="E23" i="16"/>
  <c r="A24" i="16"/>
  <c r="B24" i="16"/>
  <c r="C24" i="16"/>
  <c r="D24" i="16"/>
  <c r="E24" i="16"/>
  <c r="A25" i="16"/>
  <c r="B25" i="16"/>
  <c r="C25" i="16"/>
  <c r="D25" i="16"/>
  <c r="E25" i="16"/>
  <c r="A26" i="16"/>
  <c r="B26" i="16"/>
  <c r="C26" i="16"/>
  <c r="D26" i="16"/>
  <c r="E26" i="16"/>
  <c r="A27" i="16"/>
  <c r="B27" i="16"/>
  <c r="C27" i="16"/>
  <c r="D27" i="16"/>
  <c r="E27" i="16"/>
  <c r="A28" i="16"/>
  <c r="B28" i="16"/>
  <c r="C28" i="16"/>
  <c r="D28" i="16"/>
  <c r="E28" i="16"/>
  <c r="A30" i="16"/>
  <c r="B30" i="16"/>
  <c r="C30" i="16"/>
  <c r="D30" i="16"/>
  <c r="E30" i="16"/>
  <c r="A31" i="16"/>
  <c r="B31" i="16"/>
  <c r="C31" i="16"/>
  <c r="D31" i="16"/>
  <c r="E31" i="16"/>
  <c r="A32" i="16"/>
  <c r="B32" i="16"/>
  <c r="C32" i="16"/>
  <c r="D32" i="16"/>
  <c r="E32" i="16"/>
  <c r="A33" i="16"/>
  <c r="B33" i="16"/>
  <c r="C33" i="16"/>
  <c r="D33" i="16"/>
  <c r="E33" i="16"/>
  <c r="A34" i="16"/>
  <c r="B34" i="16"/>
  <c r="C34" i="16"/>
  <c r="D34" i="16"/>
  <c r="E34" i="16"/>
  <c r="A35" i="16"/>
  <c r="B35" i="16"/>
  <c r="C35" i="16"/>
  <c r="D35" i="16"/>
  <c r="E35" i="16"/>
  <c r="A36" i="16"/>
  <c r="B36" i="16"/>
  <c r="C36" i="16"/>
  <c r="D36" i="16"/>
  <c r="E36" i="16"/>
  <c r="A37" i="16"/>
  <c r="B37" i="16"/>
  <c r="C37" i="16"/>
  <c r="D37" i="16"/>
  <c r="E37" i="16"/>
  <c r="A38" i="16"/>
  <c r="B38" i="16"/>
  <c r="C38" i="16"/>
  <c r="D38" i="16"/>
  <c r="E38" i="16"/>
  <c r="A39" i="16"/>
  <c r="B39" i="16"/>
  <c r="C39" i="16"/>
  <c r="D39" i="16"/>
  <c r="E39" i="16"/>
  <c r="A40" i="16"/>
  <c r="B40" i="16"/>
  <c r="C40" i="16"/>
  <c r="D40" i="16"/>
  <c r="E40" i="16"/>
  <c r="A41" i="16"/>
  <c r="B41" i="16"/>
  <c r="C41" i="16"/>
  <c r="D41" i="16"/>
  <c r="E41" i="16"/>
  <c r="A44" i="16"/>
  <c r="A45" i="16"/>
  <c r="A46" i="16"/>
  <c r="A47" i="16"/>
  <c r="A48" i="16"/>
  <c r="A49" i="16"/>
  <c r="A50" i="16"/>
  <c r="A51" i="16"/>
  <c r="A52" i="16"/>
  <c r="A53" i="16"/>
  <c r="A54" i="16"/>
  <c r="A4" i="9"/>
  <c r="B4" i="9"/>
  <c r="C4" i="9"/>
  <c r="D4" i="9"/>
  <c r="E4" i="9"/>
  <c r="A5" i="9"/>
  <c r="B5" i="9"/>
  <c r="C5" i="9"/>
  <c r="D5" i="9"/>
  <c r="E5" i="9"/>
  <c r="A6" i="9"/>
  <c r="B6" i="9"/>
  <c r="C6" i="9"/>
  <c r="D6" i="9"/>
  <c r="E6" i="9"/>
  <c r="A7" i="9"/>
  <c r="B7" i="9"/>
  <c r="C7" i="9"/>
  <c r="D7" i="9"/>
  <c r="E7" i="9"/>
  <c r="A8" i="9"/>
  <c r="B8" i="9"/>
  <c r="C8" i="9"/>
  <c r="D8" i="9"/>
  <c r="E8" i="9"/>
  <c r="A9" i="9"/>
  <c r="B9" i="9"/>
  <c r="C9" i="9"/>
  <c r="D9" i="9"/>
  <c r="E9" i="9"/>
  <c r="A10" i="9"/>
  <c r="B10" i="9"/>
  <c r="C10" i="9"/>
  <c r="D10" i="9"/>
  <c r="E10" i="9"/>
  <c r="A11" i="9"/>
  <c r="B11" i="9"/>
  <c r="C11" i="9"/>
  <c r="D11" i="9"/>
  <c r="E11" i="9"/>
  <c r="A12" i="9"/>
  <c r="B12" i="9"/>
  <c r="C12" i="9"/>
  <c r="D12" i="9"/>
  <c r="E12" i="9"/>
  <c r="A13" i="9"/>
  <c r="B13" i="9"/>
  <c r="C13" i="9"/>
  <c r="D13" i="9"/>
  <c r="E13" i="9"/>
  <c r="A14" i="9"/>
  <c r="B14" i="9"/>
  <c r="C14" i="9"/>
  <c r="D14" i="9"/>
  <c r="E14" i="9"/>
  <c r="A15" i="9"/>
  <c r="B15" i="9"/>
  <c r="C15" i="9"/>
  <c r="D15" i="9"/>
  <c r="E15" i="9"/>
  <c r="A17" i="9"/>
  <c r="B17" i="9"/>
  <c r="C17" i="9"/>
  <c r="D17" i="9"/>
  <c r="E17" i="9"/>
  <c r="A18" i="9"/>
  <c r="B18" i="9"/>
  <c r="C18" i="9"/>
  <c r="D18" i="9"/>
  <c r="E18" i="9"/>
  <c r="A19" i="9"/>
  <c r="B19" i="9"/>
  <c r="C19" i="9"/>
  <c r="D19" i="9"/>
  <c r="E19" i="9"/>
  <c r="A20" i="9"/>
  <c r="B20" i="9"/>
  <c r="C20" i="9"/>
  <c r="D20" i="9"/>
  <c r="E20" i="9"/>
  <c r="A21" i="9"/>
  <c r="B21" i="9"/>
  <c r="C21" i="9"/>
  <c r="D21" i="9"/>
  <c r="E21" i="9"/>
  <c r="A22" i="9"/>
  <c r="B22" i="9"/>
  <c r="C22" i="9"/>
  <c r="D22" i="9"/>
  <c r="E22" i="9"/>
  <c r="A23" i="9"/>
  <c r="B23" i="9"/>
  <c r="C23" i="9"/>
  <c r="D23" i="9"/>
  <c r="E23" i="9"/>
  <c r="A24" i="9"/>
  <c r="B24" i="9"/>
  <c r="C24" i="9"/>
  <c r="D24" i="9"/>
  <c r="E24" i="9"/>
  <c r="A25" i="9"/>
  <c r="B25" i="9"/>
  <c r="C25" i="9"/>
  <c r="D25" i="9"/>
  <c r="E25" i="9"/>
  <c r="A26" i="9"/>
  <c r="B26" i="9"/>
  <c r="C26" i="9"/>
  <c r="D26" i="9"/>
  <c r="E26" i="9"/>
  <c r="A27" i="9"/>
  <c r="B27" i="9"/>
  <c r="C27" i="9"/>
  <c r="D27" i="9"/>
  <c r="E27" i="9"/>
  <c r="A28" i="9"/>
  <c r="B28" i="9"/>
  <c r="C28" i="9"/>
  <c r="D28" i="9"/>
  <c r="E28" i="9"/>
  <c r="A30" i="9"/>
  <c r="B30" i="9"/>
  <c r="C30" i="9"/>
  <c r="D30" i="9"/>
  <c r="E30" i="9"/>
  <c r="A31" i="9"/>
  <c r="B31" i="9"/>
  <c r="C31" i="9"/>
  <c r="D31" i="9"/>
  <c r="E31" i="9"/>
  <c r="A32" i="9"/>
  <c r="B32" i="9"/>
  <c r="C32" i="9"/>
  <c r="E32" i="9"/>
  <c r="A33" i="9"/>
  <c r="B33" i="9"/>
  <c r="C33" i="9"/>
  <c r="D33" i="9"/>
  <c r="E33" i="9"/>
  <c r="A34" i="9"/>
  <c r="B34" i="9"/>
  <c r="C34" i="9"/>
  <c r="D34" i="9"/>
  <c r="E34" i="9"/>
  <c r="A35" i="9"/>
  <c r="B35" i="9"/>
  <c r="C35" i="9"/>
  <c r="D35" i="9"/>
  <c r="E35" i="9"/>
  <c r="A36" i="9"/>
  <c r="B36" i="9"/>
  <c r="C36" i="9"/>
  <c r="D36" i="9"/>
  <c r="E36" i="9"/>
  <c r="A37" i="9"/>
  <c r="B37" i="9"/>
  <c r="C37" i="9"/>
  <c r="D37" i="9"/>
  <c r="E37" i="9"/>
  <c r="A38" i="9"/>
  <c r="B38" i="9"/>
  <c r="C38" i="9"/>
  <c r="D38" i="9"/>
  <c r="E38" i="9"/>
  <c r="A39" i="9"/>
  <c r="B39" i="9"/>
  <c r="C39" i="9"/>
  <c r="D39" i="9"/>
  <c r="E39" i="9"/>
  <c r="A40" i="9"/>
  <c r="B40" i="9"/>
  <c r="C40" i="9"/>
  <c r="D40" i="9"/>
  <c r="E40" i="9"/>
  <c r="A41" i="9"/>
  <c r="B41" i="9"/>
  <c r="C41" i="9"/>
  <c r="D41" i="9"/>
  <c r="E41" i="9"/>
  <c r="A43" i="9"/>
  <c r="A44" i="9"/>
  <c r="B44" i="9"/>
  <c r="C44" i="9"/>
  <c r="A45" i="9"/>
  <c r="B45" i="9"/>
  <c r="C45" i="9"/>
  <c r="A46" i="9"/>
  <c r="B46" i="9"/>
  <c r="C46" i="9"/>
  <c r="A47" i="9"/>
  <c r="B47" i="9"/>
  <c r="C47" i="9"/>
  <c r="A48" i="9"/>
  <c r="B48" i="9"/>
  <c r="C48" i="9"/>
  <c r="A49" i="9"/>
  <c r="B49" i="9"/>
  <c r="C49" i="9"/>
  <c r="A50" i="9"/>
  <c r="B50" i="9"/>
  <c r="C50" i="9"/>
  <c r="A51" i="9"/>
  <c r="B51" i="9"/>
  <c r="C51" i="9"/>
  <c r="A52" i="9"/>
  <c r="B52" i="9"/>
  <c r="C52" i="9"/>
  <c r="A53" i="9"/>
  <c r="B53" i="9"/>
  <c r="C53" i="9"/>
  <c r="A54" i="9"/>
  <c r="B54" i="9"/>
  <c r="C54" i="9"/>
</calcChain>
</file>

<file path=xl/sharedStrings.xml><?xml version="1.0" encoding="utf-8"?>
<sst xmlns="http://schemas.openxmlformats.org/spreadsheetml/2006/main" count="739" uniqueCount="203">
  <si>
    <t>Понедельник</t>
  </si>
  <si>
    <t>Вторник</t>
  </si>
  <si>
    <t>Среда</t>
  </si>
  <si>
    <t>Четверг</t>
  </si>
  <si>
    <t>Пятница</t>
  </si>
  <si>
    <t>П/О</t>
  </si>
  <si>
    <t>Расписание занятий</t>
  </si>
  <si>
    <t>№ пары</t>
  </si>
  <si>
    <t xml:space="preserve">Расписание занятий с </t>
  </si>
  <si>
    <t>Широкая Е.В.</t>
  </si>
  <si>
    <t>Суббота</t>
  </si>
  <si>
    <t>География 52</t>
  </si>
  <si>
    <t>Физическая культура</t>
  </si>
  <si>
    <t>Математика 13</t>
  </si>
  <si>
    <t>Кудрец Д.А.</t>
  </si>
  <si>
    <t>Гайлюн Г.В.</t>
  </si>
  <si>
    <t>Никон В.А.</t>
  </si>
  <si>
    <t>Математика 23</t>
  </si>
  <si>
    <t xml:space="preserve"> </t>
  </si>
  <si>
    <t>Харкевич О.А.</t>
  </si>
  <si>
    <t>Сердюк/Ануфриева</t>
  </si>
  <si>
    <t>Шурман Е.В.</t>
  </si>
  <si>
    <t>--------------------------------</t>
  </si>
  <si>
    <t>Селистровский/Шурман</t>
  </si>
  <si>
    <t>Белорусский язык 53</t>
  </si>
  <si>
    <t>Шашкова С.И.</t>
  </si>
  <si>
    <t>Полынский А.А.</t>
  </si>
  <si>
    <t>Спец.технология 23</t>
  </si>
  <si>
    <t>Власова Е.В.</t>
  </si>
  <si>
    <t>Вербанов/Гаркуша</t>
  </si>
  <si>
    <t>Эл.офис 2 33</t>
  </si>
  <si>
    <t>Оргтехн.1/ОВТ 2 26/23</t>
  </si>
  <si>
    <t>Оргтехн.2/ОВТ 1 26/23</t>
  </si>
  <si>
    <t>12.30</t>
  </si>
  <si>
    <t>ОС 1/Оф.прогр.2 33/43</t>
  </si>
  <si>
    <t>Клюева/Ануфриева</t>
  </si>
  <si>
    <t>ОС 2/Оф.прогр.1 33/43</t>
  </si>
  <si>
    <t>Спец.технология 52</t>
  </si>
  <si>
    <t>Англ.в пр.1/Оф.пр.2 42/43</t>
  </si>
  <si>
    <t>Англ.в пр.2/Оф.пр.1 42/43</t>
  </si>
  <si>
    <t>Материаловедение 26</t>
  </si>
  <si>
    <t>Зам. директора по УР                                 Земец И.И.</t>
  </si>
  <si>
    <t xml:space="preserve">Физическая культура </t>
  </si>
  <si>
    <t>Черненкова И.А.</t>
  </si>
  <si>
    <t>Гордиевич Е.И.</t>
  </si>
  <si>
    <t>Исакова Н.К.</t>
  </si>
  <si>
    <t>Чекан Н.Н.</t>
  </si>
  <si>
    <t>Федорцова А.Т.</t>
  </si>
  <si>
    <t>Голубева Н.И.</t>
  </si>
  <si>
    <t>7 . 40  -  8 . 20            0   урок</t>
  </si>
  <si>
    <t>8 . 30  -  9 . 15           1   урок</t>
  </si>
  <si>
    <t>9 . 30  -  10 . 15         2   урок</t>
  </si>
  <si>
    <t>10 . 30  -  11 . 15        3   урок</t>
  </si>
  <si>
    <t>11 . 30  -  12 . 15        4   урок</t>
  </si>
  <si>
    <t>12 . 35  -  13 . 20        5   урок</t>
  </si>
  <si>
    <t>13 . 40  -  14 . 25        6   урок</t>
  </si>
  <si>
    <t>14 . 40  -  15 .25         7   урок</t>
  </si>
  <si>
    <t>15 . 40  -  16 . 25        8   урок</t>
  </si>
  <si>
    <t>16 . 35  -  17 . 55       9   урок</t>
  </si>
  <si>
    <t xml:space="preserve">                                      </t>
  </si>
  <si>
    <t>РАСПИСАНИЕ ЗВОНКОВ</t>
  </si>
  <si>
    <t>9.00 - 9.45    1 урок</t>
  </si>
  <si>
    <t>9.55 - 10.40    2 урок</t>
  </si>
  <si>
    <t>10.50 - 11.35    3 урок</t>
  </si>
  <si>
    <t>11.45 - 12.30    4 урок</t>
  </si>
  <si>
    <t>12.50 - 13.35    5 урок</t>
  </si>
  <si>
    <t>13.55 - 14.40     6 урок</t>
  </si>
  <si>
    <t>14.50 - 15.35     7 урок</t>
  </si>
  <si>
    <t xml:space="preserve">15.45 - 16.30     8 урок </t>
  </si>
  <si>
    <t>8.05 - 8.50    0 урок</t>
  </si>
  <si>
    <t>Зам. директора по УР                       И.И.Земец</t>
  </si>
  <si>
    <t>Зам. директора по УР                       И.И. Земец</t>
  </si>
  <si>
    <t xml:space="preserve">Зам. директора по УР                       И.И.Земец </t>
  </si>
  <si>
    <t xml:space="preserve">Зам. директора по УР                      И.И.Земец </t>
  </si>
  <si>
    <t>144</t>
  </si>
  <si>
    <t>145</t>
  </si>
  <si>
    <t>146</t>
  </si>
  <si>
    <t>147</t>
  </si>
  <si>
    <t>148</t>
  </si>
  <si>
    <t>149</t>
  </si>
  <si>
    <t>Каминский Н.В.</t>
  </si>
  <si>
    <t>ПП</t>
  </si>
  <si>
    <t>Якшина О.А.</t>
  </si>
  <si>
    <t>Буевич С.В.</t>
  </si>
  <si>
    <t>Цыбульская Е.А.</t>
  </si>
  <si>
    <t xml:space="preserve">Ануфриева/Степанова </t>
  </si>
  <si>
    <t>Шумило Д.М.</t>
  </si>
  <si>
    <t>Гаврилкина Л.П.</t>
  </si>
  <si>
    <t>Сушинская Н.В.</t>
  </si>
  <si>
    <t>150</t>
  </si>
  <si>
    <t>151</t>
  </si>
  <si>
    <t>152</t>
  </si>
  <si>
    <t>153</t>
  </si>
  <si>
    <t>154</t>
  </si>
  <si>
    <t>155</t>
  </si>
  <si>
    <t>ПО</t>
  </si>
  <si>
    <t>"Учебный</t>
  </si>
  <si>
    <t>магазин"</t>
  </si>
  <si>
    <t>Математика 41 (15)</t>
  </si>
  <si>
    <t>Физическая культура (Ч)</t>
  </si>
  <si>
    <t>Устр-во тракторов 53 (21)</t>
  </si>
  <si>
    <t>Обществоведение 33(12)</t>
  </si>
  <si>
    <t>Рус. литература 34(13)</t>
  </si>
  <si>
    <t>Бел.язык 35(14)</t>
  </si>
  <si>
    <t xml:space="preserve">Осипова Н.А. </t>
  </si>
  <si>
    <t>История Беларуси 21(5)</t>
  </si>
  <si>
    <t>Рус.язык 34 (13)</t>
  </si>
  <si>
    <t>География 32 (11)</t>
  </si>
  <si>
    <t>Математика 45 (19)</t>
  </si>
  <si>
    <t>Гончарова Ю.А.</t>
  </si>
  <si>
    <t>Физика 11 (1)</t>
  </si>
  <si>
    <t>Черчение 12 (2)</t>
  </si>
  <si>
    <t>Химия 44 (18)</t>
  </si>
  <si>
    <t xml:space="preserve">Артеменко А.А. </t>
  </si>
  <si>
    <t>1П</t>
  </si>
  <si>
    <t>2П</t>
  </si>
  <si>
    <t>Мастерская</t>
  </si>
  <si>
    <t>Пр.инф.2/Ин.в пр.1 31/43</t>
  </si>
  <si>
    <t>ТО и Р тр-ров 53 (21)</t>
  </si>
  <si>
    <t>Спецтехнология (П) 22</t>
  </si>
  <si>
    <t>Спецтехнология (К) 23</t>
  </si>
  <si>
    <t>Чевидаев/Столбицкий</t>
  </si>
  <si>
    <t>Рус.литература 34 (13)</t>
  </si>
  <si>
    <t>Бел.литература 35(14)</t>
  </si>
  <si>
    <t>Астрономия 45 (19)</t>
  </si>
  <si>
    <t>Электротехника 14 (20)</t>
  </si>
  <si>
    <t>Устр.агр.т.и обор.14(20)</t>
  </si>
  <si>
    <t>ЗНТЧС 25(9)</t>
  </si>
  <si>
    <t>Страх В.М.</t>
  </si>
  <si>
    <t>Черчение 12(2)</t>
  </si>
  <si>
    <t>Биология 44 (18)</t>
  </si>
  <si>
    <t>Пр.инф.1/Ин.в пр.2 31/13</t>
  </si>
  <si>
    <t xml:space="preserve">Ануфриева/Семенова </t>
  </si>
  <si>
    <t>Устройство авто 55(31)</t>
  </si>
  <si>
    <t>ТО и Р авто 55(31)</t>
  </si>
  <si>
    <t>Физ. культура (Ст/Ч)</t>
  </si>
  <si>
    <t>Торг. вычисления 42 (16)</t>
  </si>
  <si>
    <t>Осипова Н.А.</t>
  </si>
  <si>
    <t>Биология 32 (11)</t>
  </si>
  <si>
    <t>Основы права 33(12)</t>
  </si>
  <si>
    <t>Товаров.пищ.пр.42 (16)</t>
  </si>
  <si>
    <t>8.05 Физ. культура (Ч)</t>
  </si>
  <si>
    <t>Основы экономики 25(9)</t>
  </si>
  <si>
    <t>Земец И.И.</t>
  </si>
  <si>
    <t>156</t>
  </si>
  <si>
    <t>157</t>
  </si>
  <si>
    <t>158</t>
  </si>
  <si>
    <t>159</t>
  </si>
  <si>
    <t>160</t>
  </si>
  <si>
    <t>по 04.09.2026</t>
  </si>
  <si>
    <t>161</t>
  </si>
  <si>
    <t>Зам.директора по УР                                     И.А. Смолякова</t>
  </si>
  <si>
    <t>Линейка</t>
  </si>
  <si>
    <t xml:space="preserve">               И.A. Смолякова</t>
  </si>
  <si>
    <t>Обществоведение 33</t>
  </si>
  <si>
    <t>Пр.черчение 12</t>
  </si>
  <si>
    <t xml:space="preserve">Устр-во тракторов 53 </t>
  </si>
  <si>
    <t>Математика 41</t>
  </si>
  <si>
    <t>Допр. Подготовка 25</t>
  </si>
  <si>
    <t>Курат. Час 33</t>
  </si>
  <si>
    <t>Русск. Лит 34</t>
  </si>
  <si>
    <t>Математика 45</t>
  </si>
  <si>
    <t>Физика 41</t>
  </si>
  <si>
    <t>Химия44</t>
  </si>
  <si>
    <t>Ин. Яз. 13/43</t>
  </si>
  <si>
    <t>Бел.литература 35</t>
  </si>
  <si>
    <t>Рисоване и лепка 11</t>
  </si>
  <si>
    <t>Торг. оборудование 24</t>
  </si>
  <si>
    <t xml:space="preserve">Химия 44 </t>
  </si>
  <si>
    <t>Устройство авто 54</t>
  </si>
  <si>
    <t>Маш. и обор. живот. 51</t>
  </si>
  <si>
    <t>Смирнов А.Н.</t>
  </si>
  <si>
    <t>(25) Курат. Час</t>
  </si>
  <si>
    <t>Курат. Час 41</t>
  </si>
  <si>
    <t xml:space="preserve">Курат. Час 14 </t>
  </si>
  <si>
    <t>Курат. Час 24</t>
  </si>
  <si>
    <t xml:space="preserve">Биология 32 </t>
  </si>
  <si>
    <t>Сем. Я.А./Степ. И.В.</t>
  </si>
  <si>
    <t>Курат. Час 31</t>
  </si>
  <si>
    <t>Курат. Час 12</t>
  </si>
  <si>
    <t>Курат. Час 45</t>
  </si>
  <si>
    <t>Курат. Час 13</t>
  </si>
  <si>
    <t>Курат. Час 35</t>
  </si>
  <si>
    <t>Курат. Час 21</t>
  </si>
  <si>
    <t>Курат. Час 54</t>
  </si>
  <si>
    <t>Ероха Е.В.</t>
  </si>
  <si>
    <t>История Беларуси 21</t>
  </si>
  <si>
    <t>Курат. Час 44.</t>
  </si>
  <si>
    <t>Курат. Час 53</t>
  </si>
  <si>
    <t>Курат. Час 22</t>
  </si>
  <si>
    <t>Курат. Час 34</t>
  </si>
  <si>
    <t>Курат. Час 51</t>
  </si>
  <si>
    <t xml:space="preserve"> Курат. Час (библ.)</t>
  </si>
  <si>
    <t>ТО и Р ТС 53</t>
  </si>
  <si>
    <t>Калькул. и уч 14</t>
  </si>
  <si>
    <t>Физическая культ. (Зен.)</t>
  </si>
  <si>
    <t>Охрана труда 12(Ц)</t>
  </si>
  <si>
    <t>Физическая культ. (Ч)</t>
  </si>
  <si>
    <t>Концевая Т.В.</t>
  </si>
  <si>
    <t>Физическая культ</t>
  </si>
  <si>
    <t>Козенков</t>
  </si>
  <si>
    <t>Физическая культ. (С)</t>
  </si>
  <si>
    <t>Устр. самоход. маш.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</si>
</sst>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,\ yyyy"/>
  </numFmts>
  <fonts count="21" x14ac:knownFonts="1">
    <font>
      <sz val="10"/>
      <name val="Arial Cyr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b/>
      <sz val="16"/>
      <name val="Arial Cyr"/>
      <family val="2"/>
      <charset val="204"/>
    </font>
    <font>
      <sz val="9"/>
      <name val="Arial Cyr"/>
      <family val="2"/>
      <charset val="204"/>
    </font>
    <font>
      <b/>
      <sz val="12"/>
      <name val="Arial Cyr"/>
      <family val="2"/>
      <charset val="204"/>
    </font>
    <font>
      <sz val="12"/>
      <name val="Arial Cyr"/>
      <family val="2"/>
      <charset val="204"/>
    </font>
    <font>
      <b/>
      <sz val="11"/>
      <color indexed="10"/>
      <name val="Arial Cyr"/>
      <family val="2"/>
      <charset val="204"/>
    </font>
    <font>
      <b/>
      <sz val="8"/>
      <color indexed="12"/>
      <name val="Arial Cyr"/>
      <family val="2"/>
      <charset val="204"/>
    </font>
    <font>
      <b/>
      <sz val="8"/>
      <color indexed="10"/>
      <name val="Arial Cyr"/>
      <family val="2"/>
      <charset val="204"/>
    </font>
    <font>
      <b/>
      <sz val="8"/>
      <color indexed="18"/>
      <name val="Arial Cyr"/>
      <family val="2"/>
      <charset val="204"/>
    </font>
    <font>
      <b/>
      <sz val="8"/>
      <color indexed="17"/>
      <name val="Arial Cyr"/>
      <family val="2"/>
      <charset val="204"/>
    </font>
    <font>
      <b/>
      <sz val="8"/>
      <color indexed="14"/>
      <name val="Arial Cyr"/>
      <family val="2"/>
      <charset val="204"/>
    </font>
    <font>
      <b/>
      <sz val="8"/>
      <name val="Arial Cyr"/>
      <family val="2"/>
      <charset val="204"/>
    </font>
    <font>
      <b/>
      <sz val="9"/>
      <color indexed="10"/>
      <name val="Arial Cyr"/>
      <family val="2"/>
      <charset val="204"/>
    </font>
    <font>
      <b/>
      <sz val="48"/>
      <color indexed="10"/>
      <name val="Arial Cyr"/>
      <family val="2"/>
      <charset val="204"/>
    </font>
    <font>
      <b/>
      <sz val="16"/>
      <color indexed="10"/>
      <name val="Arial Cyr"/>
      <family val="2"/>
      <charset val="204"/>
    </font>
    <font>
      <b/>
      <sz val="10"/>
      <name val="Arial Cyr"/>
      <family val="2"/>
      <charset val="204"/>
    </font>
    <font>
      <sz val="8"/>
      <name val="Arial Cyr"/>
      <charset val="204"/>
    </font>
    <font>
      <b/>
      <sz val="12"/>
      <name val="Arial Cyr"/>
      <charset val="204"/>
    </font>
    <font>
      <sz val="8"/>
      <name val="Arial Cyr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indexed="65"/>
        <bgColor indexed="9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9"/>
        <bgColor indexed="64"/>
      </patternFill>
    </fill>
    <fill>
      <patternFill patternType="gray0625"/>
    </fill>
    <fill>
      <patternFill patternType="mediumGray">
        <fgColor indexed="22"/>
      </patternFill>
    </fill>
    <fill>
      <patternFill patternType="gray0625">
        <fgColor indexed="22"/>
      </patternFill>
    </fill>
    <fill>
      <patternFill patternType="gray0625">
        <fgColor indexed="26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9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top"/>
    </xf>
    <xf numFmtId="0" fontId="4" fillId="0" borderId="2" xfId="0" applyFont="1" applyBorder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0" fillId="3" borderId="1" xfId="0" applyFill="1" applyBorder="1"/>
    <xf numFmtId="0" fontId="1" fillId="0" borderId="0" xfId="0" applyFont="1"/>
    <xf numFmtId="0" fontId="4" fillId="0" borderId="4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right"/>
      <protection locked="0"/>
    </xf>
    <xf numFmtId="0" fontId="8" fillId="0" borderId="0" xfId="0" applyFont="1" applyAlignment="1">
      <alignment horizontal="left" textRotation="90"/>
    </xf>
    <xf numFmtId="0" fontId="10" fillId="0" borderId="5" xfId="0" applyFont="1" applyBorder="1" applyAlignment="1">
      <alignment horizontal="left" textRotation="90"/>
    </xf>
    <xf numFmtId="0" fontId="11" fillId="0" borderId="5" xfId="0" applyFont="1" applyBorder="1" applyAlignment="1">
      <alignment horizontal="left" textRotation="90"/>
    </xf>
    <xf numFmtId="0" fontId="11" fillId="0" borderId="6" xfId="0" applyFont="1" applyBorder="1" applyAlignment="1">
      <alignment horizontal="left" textRotation="90"/>
    </xf>
    <xf numFmtId="0" fontId="8" fillId="0" borderId="5" xfId="0" applyFont="1" applyBorder="1" applyAlignment="1">
      <alignment horizontal="left" textRotation="90"/>
    </xf>
    <xf numFmtId="0" fontId="9" fillId="0" borderId="5" xfId="0" applyFont="1" applyBorder="1" applyAlignment="1">
      <alignment horizontal="center"/>
    </xf>
    <xf numFmtId="0" fontId="1" fillId="0" borderId="5" xfId="0" applyFont="1" applyBorder="1"/>
    <xf numFmtId="0" fontId="8" fillId="0" borderId="5" xfId="0" applyFont="1" applyBorder="1" applyAlignment="1" applyProtection="1">
      <alignment horizontal="right"/>
      <protection locked="0"/>
    </xf>
    <xf numFmtId="0" fontId="8" fillId="0" borderId="7" xfId="0" applyFont="1" applyBorder="1" applyAlignment="1" applyProtection="1">
      <alignment horizontal="right"/>
      <protection locked="0"/>
    </xf>
    <xf numFmtId="0" fontId="0" fillId="0" borderId="5" xfId="0" applyBorder="1"/>
    <xf numFmtId="0" fontId="12" fillId="0" borderId="5" xfId="0" applyFont="1" applyBorder="1" applyAlignment="1">
      <alignment horizontal="left" textRotation="90"/>
    </xf>
    <xf numFmtId="0" fontId="8" fillId="0" borderId="6" xfId="0" applyFont="1" applyBorder="1" applyAlignment="1">
      <alignment horizontal="left" textRotation="90"/>
    </xf>
    <xf numFmtId="0" fontId="13" fillId="0" borderId="5" xfId="0" applyFont="1" applyBorder="1" applyAlignment="1">
      <alignment horizontal="left" textRotation="90"/>
    </xf>
    <xf numFmtId="0" fontId="9" fillId="0" borderId="8" xfId="0" applyFont="1" applyBorder="1" applyAlignment="1">
      <alignment horizontal="center"/>
    </xf>
    <xf numFmtId="0" fontId="0" fillId="0" borderId="9" xfId="0" applyBorder="1"/>
    <xf numFmtId="0" fontId="9" fillId="4" borderId="7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textRotation="90"/>
    </xf>
    <xf numFmtId="0" fontId="0" fillId="4" borderId="10" xfId="0" applyFill="1" applyBorder="1"/>
    <xf numFmtId="0" fontId="0" fillId="4" borderId="8" xfId="0" applyFill="1" applyBorder="1"/>
    <xf numFmtId="0" fontId="1" fillId="4" borderId="0" xfId="0" applyFont="1" applyFill="1"/>
    <xf numFmtId="0" fontId="8" fillId="4" borderId="0" xfId="0" applyFont="1" applyFill="1" applyAlignment="1" applyProtection="1">
      <alignment horizontal="right"/>
      <protection locked="0"/>
    </xf>
    <xf numFmtId="0" fontId="8" fillId="4" borderId="0" xfId="0" applyFont="1" applyFill="1" applyAlignment="1">
      <alignment horizontal="left" textRotation="90"/>
    </xf>
    <xf numFmtId="0" fontId="9" fillId="4" borderId="8" xfId="0" applyFont="1" applyFill="1" applyBorder="1" applyAlignment="1">
      <alignment horizontal="center" textRotation="90"/>
    </xf>
    <xf numFmtId="0" fontId="0" fillId="4" borderId="0" xfId="0" applyFill="1"/>
    <xf numFmtId="0" fontId="11" fillId="0" borderId="11" xfId="0" applyFont="1" applyBorder="1" applyAlignment="1">
      <alignment horizontal="left" textRotation="90"/>
    </xf>
    <xf numFmtId="0" fontId="8" fillId="0" borderId="11" xfId="0" applyFont="1" applyBorder="1" applyAlignment="1">
      <alignment horizontal="left" textRotation="90"/>
    </xf>
    <xf numFmtId="0" fontId="9" fillId="5" borderId="12" xfId="0" applyFont="1" applyFill="1" applyBorder="1" applyAlignment="1">
      <alignment horizontal="center" textRotation="90"/>
    </xf>
    <xf numFmtId="0" fontId="9" fillId="5" borderId="13" xfId="0" applyFont="1" applyFill="1" applyBorder="1" applyAlignment="1">
      <alignment horizontal="center" textRotation="90"/>
    </xf>
    <xf numFmtId="0" fontId="0" fillId="3" borderId="10" xfId="0" applyFill="1" applyBorder="1"/>
    <xf numFmtId="0" fontId="0" fillId="3" borderId="0" xfId="0" applyFill="1"/>
    <xf numFmtId="0" fontId="0" fillId="0" borderId="10" xfId="0" applyBorder="1"/>
    <xf numFmtId="0" fontId="0" fillId="6" borderId="1" xfId="0" applyFill="1" applyBorder="1"/>
    <xf numFmtId="0" fontId="14" fillId="4" borderId="7" xfId="0" applyFont="1" applyFill="1" applyBorder="1" applyAlignment="1">
      <alignment horizontal="center" textRotation="90"/>
    </xf>
    <xf numFmtId="0" fontId="0" fillId="4" borderId="14" xfId="0" applyFill="1" applyBorder="1"/>
    <xf numFmtId="0" fontId="0" fillId="4" borderId="15" xfId="0" applyFill="1" applyBorder="1"/>
    <xf numFmtId="0" fontId="0" fillId="0" borderId="8" xfId="0" applyBorder="1"/>
    <xf numFmtId="0" fontId="0" fillId="0" borderId="16" xfId="0" applyBorder="1"/>
    <xf numFmtId="0" fontId="4" fillId="7" borderId="4" xfId="0" applyFont="1" applyFill="1" applyBorder="1" applyAlignment="1" applyProtection="1">
      <alignment horizontal="center"/>
      <protection locked="0"/>
    </xf>
    <xf numFmtId="0" fontId="4" fillId="7" borderId="3" xfId="0" applyFont="1" applyFill="1" applyBorder="1" applyAlignment="1" applyProtection="1">
      <alignment horizontal="center"/>
      <protection locked="0"/>
    </xf>
    <xf numFmtId="0" fontId="4" fillId="7" borderId="2" xfId="0" applyFont="1" applyFill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center" vertical="center"/>
    </xf>
    <xf numFmtId="0" fontId="4" fillId="7" borderId="1" xfId="0" applyFont="1" applyFill="1" applyBorder="1" applyAlignment="1" applyProtection="1">
      <alignment horizontal="center"/>
      <protection locked="0"/>
    </xf>
    <xf numFmtId="14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4" fillId="0" borderId="4" xfId="0" applyFont="1" applyBorder="1" applyAlignment="1">
      <alignment horizontal="center"/>
    </xf>
    <xf numFmtId="14" fontId="16" fillId="0" borderId="0" xfId="0" applyNumberFormat="1" applyFont="1" applyAlignment="1" applyProtection="1">
      <alignment horizontal="right"/>
      <protection locked="0"/>
    </xf>
    <xf numFmtId="49" fontId="2" fillId="0" borderId="1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 applyProtection="1">
      <alignment horizontal="center"/>
      <protection locked="0"/>
    </xf>
    <xf numFmtId="49" fontId="4" fillId="0" borderId="3" xfId="0" applyNumberFormat="1" applyFont="1" applyBorder="1" applyAlignment="1" applyProtection="1">
      <alignment horizontal="center"/>
      <protection locked="0"/>
    </xf>
    <xf numFmtId="14" fontId="3" fillId="0" borderId="0" xfId="0" applyNumberFormat="1" applyFont="1" applyAlignment="1">
      <alignment vertical="top"/>
    </xf>
    <xf numFmtId="0" fontId="4" fillId="8" borderId="3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49" fontId="4" fillId="8" borderId="3" xfId="0" applyNumberFormat="1" applyFont="1" applyFill="1" applyBorder="1" applyAlignment="1" applyProtection="1">
      <alignment horizontal="center"/>
      <protection locked="0"/>
    </xf>
    <xf numFmtId="49" fontId="4" fillId="8" borderId="4" xfId="0" applyNumberFormat="1" applyFont="1" applyFill="1" applyBorder="1" applyAlignment="1" applyProtection="1">
      <alignment horizontal="center"/>
      <protection locked="0"/>
    </xf>
    <xf numFmtId="0" fontId="4" fillId="8" borderId="0" xfId="0" applyFont="1" applyFill="1" applyAlignment="1" applyProtection="1">
      <alignment horizontal="center"/>
      <protection locked="0"/>
    </xf>
    <xf numFmtId="0" fontId="4" fillId="8" borderId="4" xfId="0" applyFont="1" applyFill="1" applyBorder="1" applyAlignment="1" applyProtection="1">
      <alignment horizontal="center"/>
      <protection locked="0"/>
    </xf>
    <xf numFmtId="0" fontId="4" fillId="8" borderId="3" xfId="0" applyFont="1" applyFill="1" applyBorder="1" applyAlignment="1" applyProtection="1">
      <alignment horizontal="center"/>
      <protection locked="0"/>
    </xf>
    <xf numFmtId="49" fontId="4" fillId="8" borderId="2" xfId="0" applyNumberFormat="1" applyFont="1" applyFill="1" applyBorder="1" applyAlignment="1" applyProtection="1">
      <alignment horizontal="center"/>
      <protection locked="0"/>
    </xf>
    <xf numFmtId="49" fontId="4" fillId="8" borderId="1" xfId="0" applyNumberFormat="1" applyFont="1" applyFill="1" applyBorder="1" applyAlignment="1" applyProtection="1">
      <alignment horizontal="center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0" fontId="4" fillId="8" borderId="4" xfId="0" applyFont="1" applyFill="1" applyBorder="1" applyAlignment="1">
      <alignment horizontal="left"/>
    </xf>
    <xf numFmtId="0" fontId="4" fillId="8" borderId="3" xfId="0" applyFont="1" applyFill="1" applyBorder="1" applyAlignment="1">
      <alignment horizontal="left"/>
    </xf>
    <xf numFmtId="0" fontId="4" fillId="0" borderId="2" xfId="0" applyFont="1" applyBorder="1" applyAlignment="1">
      <alignment horizontal="left"/>
    </xf>
    <xf numFmtId="49" fontId="4" fillId="8" borderId="4" xfId="0" applyNumberFormat="1" applyFont="1" applyFill="1" applyBorder="1" applyAlignment="1">
      <alignment horizontal="center"/>
    </xf>
    <xf numFmtId="49" fontId="4" fillId="8" borderId="1" xfId="0" applyNumberFormat="1" applyFont="1" applyFill="1" applyBorder="1" applyAlignment="1">
      <alignment horizontal="center"/>
    </xf>
    <xf numFmtId="49" fontId="4" fillId="8" borderId="2" xfId="0" applyNumberFormat="1" applyFont="1" applyFill="1" applyBorder="1" applyAlignment="1">
      <alignment horizontal="center"/>
    </xf>
    <xf numFmtId="0" fontId="0" fillId="0" borderId="2" xfId="0" applyBorder="1"/>
    <xf numFmtId="49" fontId="4" fillId="8" borderId="3" xfId="0" applyNumberFormat="1" applyFont="1" applyFill="1" applyBorder="1" applyAlignment="1">
      <alignment horizontal="center"/>
    </xf>
    <xf numFmtId="0" fontId="0" fillId="0" borderId="3" xfId="0" applyBorder="1"/>
    <xf numFmtId="49" fontId="4" fillId="9" borderId="17" xfId="0" applyNumberFormat="1" applyFont="1" applyFill="1" applyBorder="1" applyAlignment="1" applyProtection="1">
      <alignment horizontal="center"/>
      <protection locked="0"/>
    </xf>
    <xf numFmtId="49" fontId="4" fillId="9" borderId="16" xfId="0" applyNumberFormat="1" applyFont="1" applyFill="1" applyBorder="1" applyAlignment="1" applyProtection="1">
      <alignment horizontal="center"/>
      <protection locked="0"/>
    </xf>
    <xf numFmtId="49" fontId="4" fillId="9" borderId="18" xfId="0" applyNumberFormat="1" applyFont="1" applyFill="1" applyBorder="1" applyAlignment="1" applyProtection="1">
      <alignment horizontal="center"/>
      <protection locked="0"/>
    </xf>
    <xf numFmtId="0" fontId="4" fillId="9" borderId="0" xfId="0" applyFont="1" applyFill="1" applyAlignment="1" applyProtection="1">
      <alignment horizontal="center"/>
      <protection locked="0"/>
    </xf>
    <xf numFmtId="0" fontId="7" fillId="0" borderId="0" xfId="0" applyFont="1" applyAlignment="1">
      <alignment vertical="center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4" fillId="8" borderId="1" xfId="0" applyFont="1" applyFill="1" applyBorder="1" applyAlignment="1" applyProtection="1">
      <alignment horizontal="center"/>
      <protection locked="0"/>
    </xf>
    <xf numFmtId="0" fontId="0" fillId="2" borderId="1" xfId="0" applyFill="1" applyBorder="1"/>
    <xf numFmtId="0" fontId="0" fillId="2" borderId="3" xfId="0" applyFill="1" applyBorder="1"/>
    <xf numFmtId="0" fontId="0" fillId="0" borderId="19" xfId="0" applyBorder="1"/>
    <xf numFmtId="0" fontId="0" fillId="2" borderId="19" xfId="0" applyFill="1" applyBorder="1"/>
    <xf numFmtId="0" fontId="0" fillId="0" borderId="20" xfId="0" applyBorder="1" applyAlignment="1">
      <alignment vertical="top"/>
    </xf>
    <xf numFmtId="0" fontId="1" fillId="0" borderId="20" xfId="0" applyFont="1" applyBorder="1" applyAlignment="1">
      <alignment vertical="center"/>
    </xf>
    <xf numFmtId="0" fontId="4" fillId="8" borderId="20" xfId="0" applyFont="1" applyFill="1" applyBorder="1" applyAlignment="1" applyProtection="1">
      <alignment horizontal="center"/>
      <protection locked="0"/>
    </xf>
    <xf numFmtId="0" fontId="0" fillId="0" borderId="17" xfId="0" applyBorder="1"/>
    <xf numFmtId="0" fontId="0" fillId="0" borderId="20" xfId="0" applyBorder="1"/>
    <xf numFmtId="49" fontId="1" fillId="2" borderId="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/>
      <protection locked="0"/>
    </xf>
    <xf numFmtId="49" fontId="4" fillId="0" borderId="1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8" borderId="4" xfId="0" applyFont="1" applyFill="1" applyBorder="1" applyAlignment="1">
      <alignment horizontal="center"/>
    </xf>
    <xf numFmtId="17" fontId="4" fillId="8" borderId="1" xfId="0" applyNumberFormat="1" applyFont="1" applyFill="1" applyBorder="1" applyAlignment="1" applyProtection="1">
      <alignment horizontal="center"/>
      <protection locked="0"/>
    </xf>
    <xf numFmtId="0" fontId="20" fillId="0" borderId="3" xfId="0" applyFont="1" applyBorder="1" applyAlignment="1">
      <alignment horizontal="center"/>
    </xf>
    <xf numFmtId="49" fontId="19" fillId="0" borderId="2" xfId="0" applyNumberFormat="1" applyFont="1" applyBorder="1" applyAlignment="1" applyProtection="1">
      <alignment horizontal="center"/>
      <protection locked="0"/>
    </xf>
    <xf numFmtId="49" fontId="19" fillId="0" borderId="3" xfId="0" applyNumberFormat="1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49" fontId="2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4" fillId="0" borderId="4" xfId="0" applyNumberFormat="1" applyFont="1" applyBorder="1" applyAlignment="1">
      <alignment horizontal="center"/>
    </xf>
    <xf numFmtId="49" fontId="4" fillId="0" borderId="4" xfId="0" applyNumberFormat="1" applyFont="1" applyBorder="1" applyAlignment="1" applyProtection="1">
      <alignment horizontal="center"/>
      <protection locked="0"/>
    </xf>
    <xf numFmtId="0" fontId="15" fillId="0" borderId="21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7" fillId="4" borderId="13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0" fontId="7" fillId="4" borderId="22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17" fillId="0" borderId="20" xfId="0" applyNumberFormat="1" applyFont="1" applyBorder="1" applyAlignment="1" applyProtection="1">
      <alignment horizontal="center"/>
      <protection locked="0"/>
    </xf>
    <xf numFmtId="49" fontId="17" fillId="0" borderId="24" xfId="0" applyNumberFormat="1" applyFont="1" applyBorder="1" applyAlignment="1" applyProtection="1">
      <alignment horizontal="center"/>
      <protection locked="0"/>
    </xf>
    <xf numFmtId="49" fontId="4" fillId="8" borderId="17" xfId="0" applyNumberFormat="1" applyFont="1" applyFill="1" applyBorder="1" applyAlignment="1" applyProtection="1">
      <alignment horizontal="center"/>
      <protection locked="0"/>
    </xf>
    <xf numFmtId="49" fontId="4" fillId="8" borderId="16" xfId="0" applyNumberFormat="1" applyFont="1" applyFill="1" applyBorder="1" applyAlignment="1" applyProtection="1">
      <alignment horizontal="center"/>
      <protection locked="0"/>
    </xf>
    <xf numFmtId="49" fontId="4" fillId="8" borderId="18" xfId="0" applyNumberFormat="1" applyFont="1" applyFill="1" applyBorder="1" applyAlignment="1" applyProtection="1">
      <alignment horizontal="center"/>
      <protection locked="0"/>
    </xf>
    <xf numFmtId="49" fontId="17" fillId="8" borderId="25" xfId="0" applyNumberFormat="1" applyFont="1" applyFill="1" applyBorder="1" applyAlignment="1" applyProtection="1">
      <alignment horizontal="center"/>
      <protection locked="0"/>
    </xf>
    <xf numFmtId="49" fontId="17" fillId="8" borderId="19" xfId="0" applyNumberFormat="1" applyFont="1" applyFill="1" applyBorder="1" applyAlignment="1" applyProtection="1">
      <alignment horizontal="center"/>
      <protection locked="0"/>
    </xf>
    <xf numFmtId="49" fontId="17" fillId="8" borderId="26" xfId="0" applyNumberFormat="1" applyFont="1" applyFill="1" applyBorder="1" applyAlignment="1" applyProtection="1">
      <alignment horizontal="center"/>
      <protection locked="0"/>
    </xf>
    <xf numFmtId="49" fontId="1" fillId="0" borderId="20" xfId="0" applyNumberFormat="1" applyFont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49" fontId="1" fillId="0" borderId="24" xfId="0" applyNumberFormat="1" applyFont="1" applyBorder="1" applyAlignment="1">
      <alignment horizontal="center" vertical="center"/>
    </xf>
    <xf numFmtId="0" fontId="3" fillId="0" borderId="16" xfId="0" applyFont="1" applyBorder="1" applyAlignment="1">
      <alignment horizontal="right" vertical="top"/>
    </xf>
    <xf numFmtId="49" fontId="2" fillId="0" borderId="20" xfId="0" applyNumberFormat="1" applyFont="1" applyBorder="1" applyAlignment="1">
      <alignment horizontal="center" vertical="center"/>
    </xf>
    <xf numFmtId="49" fontId="2" fillId="0" borderId="24" xfId="0" applyNumberFormat="1" applyFont="1" applyBorder="1" applyAlignment="1">
      <alignment horizontal="center" vertical="center"/>
    </xf>
    <xf numFmtId="49" fontId="17" fillId="0" borderId="23" xfId="0" applyNumberFormat="1" applyFont="1" applyBorder="1" applyAlignment="1" applyProtection="1">
      <alignment horizontal="center"/>
      <protection locked="0"/>
    </xf>
    <xf numFmtId="49" fontId="7" fillId="0" borderId="20" xfId="0" applyNumberFormat="1" applyFont="1" applyBorder="1" applyAlignment="1">
      <alignment horizontal="center" vertical="center"/>
    </xf>
    <xf numFmtId="49" fontId="7" fillId="0" borderId="23" xfId="0" applyNumberFormat="1" applyFont="1" applyBorder="1" applyAlignment="1">
      <alignment horizontal="center" vertical="center"/>
    </xf>
    <xf numFmtId="49" fontId="7" fillId="0" borderId="24" xfId="0" applyNumberFormat="1" applyFont="1" applyBorder="1" applyAlignment="1">
      <alignment horizontal="center" vertical="center"/>
    </xf>
    <xf numFmtId="49" fontId="4" fillId="9" borderId="23" xfId="0" applyNumberFormat="1" applyFont="1" applyFill="1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4" xfId="0" applyBorder="1" applyAlignment="1" applyProtection="1">
      <alignment horizontal="center"/>
      <protection locked="0"/>
    </xf>
    <xf numFmtId="49" fontId="1" fillId="0" borderId="20" xfId="0" applyNumberFormat="1" applyFont="1" applyBorder="1" applyAlignment="1">
      <alignment horizontal="justify"/>
    </xf>
    <xf numFmtId="49" fontId="1" fillId="0" borderId="23" xfId="0" applyNumberFormat="1" applyFont="1" applyBorder="1" applyAlignment="1">
      <alignment horizontal="justify"/>
    </xf>
    <xf numFmtId="49" fontId="1" fillId="0" borderId="24" xfId="0" applyNumberFormat="1" applyFont="1" applyBorder="1" applyAlignment="1">
      <alignment horizontal="justify"/>
    </xf>
    <xf numFmtId="49" fontId="17" fillId="0" borderId="25" xfId="0" applyNumberFormat="1" applyFont="1" applyBorder="1" applyAlignment="1" applyProtection="1">
      <alignment horizontal="center"/>
      <protection locked="0"/>
    </xf>
    <xf numFmtId="49" fontId="17" fillId="0" borderId="26" xfId="0" applyNumberFormat="1" applyFont="1" applyBorder="1" applyAlignment="1" applyProtection="1">
      <alignment horizontal="center"/>
      <protection locked="0"/>
    </xf>
    <xf numFmtId="49" fontId="17" fillId="0" borderId="1" xfId="0" applyNumberFormat="1" applyFont="1" applyBorder="1" applyAlignment="1" applyProtection="1">
      <alignment horizontal="center"/>
      <protection locked="0"/>
    </xf>
    <xf numFmtId="49" fontId="17" fillId="0" borderId="17" xfId="0" applyNumberFormat="1" applyFont="1" applyBorder="1" applyAlignment="1" applyProtection="1">
      <alignment horizontal="center"/>
      <protection locked="0"/>
    </xf>
    <xf numFmtId="49" fontId="17" fillId="0" borderId="18" xfId="0" applyNumberFormat="1" applyFont="1" applyBorder="1" applyAlignment="1" applyProtection="1">
      <alignment horizontal="center"/>
      <protection locked="0"/>
    </xf>
    <xf numFmtId="0" fontId="4" fillId="8" borderId="25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17" xfId="0" applyFont="1" applyFill="1" applyBorder="1" applyAlignment="1">
      <alignment horizontal="center"/>
    </xf>
    <xf numFmtId="0" fontId="4" fillId="8" borderId="1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164" fontId="3" fillId="0" borderId="16" xfId="0" applyNumberFormat="1" applyFont="1" applyBorder="1" applyAlignment="1">
      <alignment horizontal="center"/>
    </xf>
  </cellXfs>
  <cellStyles count="1">
    <cellStyle name="Обычный" xfId="0" builtinId="0"/>
  </cellStyles>
  <dxfs count="8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  <color indexed="9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9"/>
        </patternFill>
      </fill>
    </dxf>
    <dxf>
      <fill>
        <patternFill>
          <bgColor indexed="9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strike val="0"/>
        <condense val="0"/>
        <extend val="0"/>
        <color indexed="8"/>
      </font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ndense val="0"/>
        <extend val="0"/>
        <color indexed="22"/>
      </font>
    </dxf>
    <dxf>
      <font>
        <condense val="0"/>
        <extend val="0"/>
        <color indexed="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52EF-C3B2-4AF8-AA2A-00D9FD523B3F}">
  <sheetPr codeName="Лист1"/>
  <dimension ref="A1:AU17"/>
  <sheetViews>
    <sheetView showGridLines="0" zoomScaleNormal="100" zoomScaleSheetLayoutView="100" workbookViewId="0">
      <pane ySplit="1" topLeftCell="A2" activePane="bottomLeft" state="frozen"/>
      <selection pane="bottomLeft" activeCell="P5" sqref="P5"/>
    </sheetView>
  </sheetViews>
  <sheetFormatPr defaultRowHeight="12.75" x14ac:dyDescent="0.2"/>
  <cols>
    <col min="1" max="41" width="2.42578125" customWidth="1"/>
    <col min="42" max="47" width="9.140625" customWidth="1"/>
  </cols>
  <sheetData>
    <row r="1" spans="1:47" s="24" customFormat="1" ht="42.75" customHeight="1" thickTop="1" thickBot="1" x14ac:dyDescent="0.25">
      <c r="A1" s="51" t="s">
        <v>7</v>
      </c>
      <c r="B1" s="35" t="str">
        <f>'На неделю'!A2</f>
        <v>144</v>
      </c>
      <c r="C1" s="35" t="str">
        <f>'На неделю'!B2</f>
        <v>145</v>
      </c>
      <c r="D1" s="35" t="str">
        <f>'На неделю'!C2</f>
        <v>146</v>
      </c>
      <c r="E1" s="35" t="str">
        <f>'На неделю'!D2</f>
        <v>147</v>
      </c>
      <c r="F1" s="35" t="str">
        <f>'На неделю'!E2</f>
        <v>148</v>
      </c>
      <c r="G1" s="35" t="str">
        <f>'На неделю'!F2</f>
        <v>149</v>
      </c>
      <c r="H1" s="35" t="str">
        <f>'На неделю'!G2</f>
        <v>150</v>
      </c>
      <c r="I1" s="35" t="str">
        <f>'На неделю'!H2</f>
        <v>151</v>
      </c>
      <c r="J1" s="35" t="str">
        <f>'На неделю'!I2</f>
        <v>152</v>
      </c>
      <c r="K1" s="35" t="str">
        <f>'На неделю'!J2</f>
        <v>153</v>
      </c>
      <c r="L1" s="35" t="str">
        <f>'На неделю'!K2</f>
        <v>154</v>
      </c>
      <c r="M1" s="35" t="str">
        <f>'На неделю'!L2</f>
        <v>155</v>
      </c>
      <c r="N1" s="35" t="str">
        <f>'На неделю'!M2</f>
        <v>156</v>
      </c>
      <c r="O1" s="35" t="str">
        <f>'На неделю'!N2</f>
        <v>157</v>
      </c>
      <c r="P1" s="35" t="str">
        <f>'На неделю'!O2</f>
        <v>158</v>
      </c>
      <c r="Q1" s="35" t="str">
        <f>'На неделю'!P2</f>
        <v>159</v>
      </c>
      <c r="R1" s="35" t="str">
        <f>'На неделю'!R2</f>
        <v>161</v>
      </c>
      <c r="S1" s="35">
        <f>'На неделю'!S2</f>
        <v>0</v>
      </c>
      <c r="T1" s="35" t="str">
        <f>'На неделю'!T2</f>
        <v>РАСПИСАНИЕ ЗВОНКОВ</v>
      </c>
      <c r="U1" s="45">
        <f>'На неделю'!U2</f>
        <v>0</v>
      </c>
      <c r="V1" s="46" t="str">
        <f>'На неделю'!A2</f>
        <v>144</v>
      </c>
      <c r="W1" s="35" t="str">
        <f>'На неделю'!B2</f>
        <v>145</v>
      </c>
      <c r="X1" s="35" t="str">
        <f>'На неделю'!C2</f>
        <v>146</v>
      </c>
      <c r="Y1" s="35" t="str">
        <f>'На неделю'!D2</f>
        <v>147</v>
      </c>
      <c r="Z1" s="35" t="str">
        <f>'На неделю'!E2</f>
        <v>148</v>
      </c>
      <c r="AA1" s="35" t="str">
        <f>'На неделю'!F2</f>
        <v>149</v>
      </c>
      <c r="AB1" s="35" t="str">
        <f>'На неделю'!G2</f>
        <v>150</v>
      </c>
      <c r="AC1" s="35" t="str">
        <f>'На неделю'!H2</f>
        <v>151</v>
      </c>
      <c r="AD1" s="35" t="str">
        <f>'На неделю'!I2</f>
        <v>152</v>
      </c>
      <c r="AE1" s="35" t="str">
        <f>'На неделю'!J2</f>
        <v>153</v>
      </c>
      <c r="AF1" s="35" t="str">
        <f>'На неделю'!K2</f>
        <v>154</v>
      </c>
      <c r="AG1" s="35" t="str">
        <f>'На неделю'!L2</f>
        <v>155</v>
      </c>
      <c r="AH1" s="35" t="str">
        <f>'На неделю'!M2</f>
        <v>156</v>
      </c>
      <c r="AI1" s="35" t="str">
        <f>'На неделю'!N2</f>
        <v>157</v>
      </c>
      <c r="AJ1" s="35" t="str">
        <f>'На неделю'!O2</f>
        <v>158</v>
      </c>
      <c r="AK1" s="35" t="str">
        <f>'На неделю'!P2</f>
        <v>159</v>
      </c>
      <c r="AL1" s="35" t="str">
        <f>'На неделю'!R2</f>
        <v>161</v>
      </c>
      <c r="AM1" s="35">
        <f>'На неделю'!S2</f>
        <v>0</v>
      </c>
      <c r="AN1" s="35" t="str">
        <f>'На неделю'!T2</f>
        <v>РАСПИСАНИЕ ЗВОНКОВ</v>
      </c>
      <c r="AO1" s="35">
        <f>'На неделю'!U2</f>
        <v>0</v>
      </c>
      <c r="AP1" s="41"/>
      <c r="AQ1" s="32"/>
      <c r="AR1" s="32"/>
      <c r="AS1" s="32"/>
      <c r="AT1" s="32"/>
    </row>
    <row r="2" spans="1:47" s="25" customFormat="1" ht="17.25" customHeight="1" thickTop="1" thickBot="1" x14ac:dyDescent="0.3">
      <c r="A2" s="129" t="s">
        <v>0</v>
      </c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30"/>
      <c r="V2" s="128" t="s">
        <v>1</v>
      </c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38"/>
      <c r="AQ2" s="16"/>
      <c r="AR2" s="16"/>
      <c r="AS2" s="16"/>
      <c r="AT2" s="16"/>
    </row>
    <row r="3" spans="1:47" s="27" customFormat="1" ht="91.5" customHeight="1" thickTop="1" thickBot="1" x14ac:dyDescent="0.25">
      <c r="A3" s="34">
        <v>1</v>
      </c>
      <c r="B3" s="20">
        <f>'На неделю'!A6</f>
        <v>0</v>
      </c>
      <c r="C3" s="20">
        <f>'На неделю'!B6</f>
        <v>0</v>
      </c>
      <c r="D3" s="20">
        <f>'На неделю'!C6</f>
        <v>0</v>
      </c>
      <c r="E3" s="20">
        <f>'На неделю'!D6</f>
        <v>0</v>
      </c>
      <c r="F3" s="20">
        <f>'На неделю'!E6</f>
        <v>0</v>
      </c>
      <c r="G3" s="20">
        <f>'На неделю'!F6</f>
        <v>0</v>
      </c>
      <c r="H3" s="20">
        <f>'На неделю'!G6</f>
        <v>0</v>
      </c>
      <c r="I3" s="20">
        <f>'На неделю'!H6</f>
        <v>0</v>
      </c>
      <c r="J3" s="20">
        <f>'На неделю'!I6</f>
        <v>0</v>
      </c>
      <c r="K3" s="20">
        <f>'На неделю'!J6</f>
        <v>0</v>
      </c>
      <c r="L3" s="20">
        <f>'На неделю'!K6</f>
        <v>0</v>
      </c>
      <c r="M3" s="20">
        <f>'На неделю'!L6</f>
        <v>0</v>
      </c>
      <c r="N3" s="20">
        <f>'На неделю'!M6</f>
        <v>0</v>
      </c>
      <c r="O3" s="20">
        <f>'На неделю'!N6</f>
        <v>0</v>
      </c>
      <c r="P3" s="20">
        <f>'На неделю'!O6</f>
        <v>0</v>
      </c>
      <c r="Q3" s="20">
        <f>'На неделю'!P6</f>
        <v>0</v>
      </c>
      <c r="R3" s="20">
        <f>'На неделю'!R6</f>
        <v>0</v>
      </c>
      <c r="S3" s="20">
        <f>'На неделю'!S6</f>
        <v>0</v>
      </c>
      <c r="T3" s="20" t="str">
        <f>'На неделю'!T6</f>
        <v>9.55 - 10.40    2 урок</v>
      </c>
      <c r="U3" s="20">
        <f>'На неделю'!U6</f>
        <v>0</v>
      </c>
      <c r="V3" s="43" t="str">
        <f>'На неделю'!A18</f>
        <v xml:space="preserve"> Курат. Час (библ.)</v>
      </c>
      <c r="W3" s="21" t="str">
        <f>'На неделю'!B18</f>
        <v>Курат. Час 44.</v>
      </c>
      <c r="X3" s="21" t="str">
        <f>'На неделю'!C18</f>
        <v>Курат. Час 53</v>
      </c>
      <c r="Y3" s="21" t="str">
        <f>'На неделю'!D18</f>
        <v>Курат. Час 22</v>
      </c>
      <c r="Z3" s="21" t="e">
        <f>'На неделю'!#REF!</f>
        <v>#REF!</v>
      </c>
      <c r="AA3" s="21" t="e">
        <f>'На неделю'!#REF!</f>
        <v>#REF!</v>
      </c>
      <c r="AB3" s="21" t="str">
        <f>'На неделю'!G18</f>
        <v>Курат. Час 54</v>
      </c>
      <c r="AC3" s="21" t="str">
        <f>'На неделю'!H18</f>
        <v>Курат. Час 21</v>
      </c>
      <c r="AD3" s="21" t="str">
        <f>'На неделю'!I18</f>
        <v>Курат. Час 35</v>
      </c>
      <c r="AE3" s="21" t="str">
        <f>'На неделю'!J18</f>
        <v>Курат. Час 13</v>
      </c>
      <c r="AF3" s="21" t="str">
        <f>'На неделю'!K18</f>
        <v>Курат. Час 45</v>
      </c>
      <c r="AG3" s="21" t="str">
        <f>'На неделю'!L18</f>
        <v>Курат. Час 12</v>
      </c>
      <c r="AH3" s="21" t="str">
        <f>'На неделю'!M18</f>
        <v>Курат. Час 33</v>
      </c>
      <c r="AI3" s="21" t="str">
        <f>'На неделю'!N18</f>
        <v>(25) Курат. Час</v>
      </c>
      <c r="AJ3" s="21" t="str">
        <f>'На неделю'!O18</f>
        <v>Курат. Час 31</v>
      </c>
      <c r="AK3" s="21" t="str">
        <f>'На неделю'!P18</f>
        <v>Курат. Час 41</v>
      </c>
      <c r="AL3" s="21" t="str">
        <f>'На неделю'!R18</f>
        <v>Курат. Час 24</v>
      </c>
      <c r="AM3" s="21">
        <f>'На неделю'!S18</f>
        <v>0</v>
      </c>
      <c r="AN3" s="21" t="str">
        <f>'На неделю'!T18</f>
        <v>9.55 - 10.40    2 урок</v>
      </c>
      <c r="AO3" s="22">
        <f>'На неделю'!U18</f>
        <v>0</v>
      </c>
      <c r="AP3" s="39"/>
      <c r="AQ3" s="18"/>
      <c r="AR3" s="18"/>
      <c r="AS3" s="18"/>
      <c r="AT3" s="18"/>
      <c r="AU3" s="26"/>
    </row>
    <row r="4" spans="1:47" s="23" customFormat="1" ht="91.5" customHeight="1" thickTop="1" thickBot="1" x14ac:dyDescent="0.25">
      <c r="A4" s="34">
        <v>2</v>
      </c>
      <c r="B4" s="20">
        <f>'На неделю'!A8</f>
        <v>0</v>
      </c>
      <c r="C4" s="20">
        <f>'На неделю'!B8</f>
        <v>0</v>
      </c>
      <c r="D4" s="20">
        <f>'На неделю'!C8</f>
        <v>0</v>
      </c>
      <c r="E4" s="20">
        <f>'На неделю'!D8</f>
        <v>0</v>
      </c>
      <c r="F4" s="20">
        <f>'На неделю'!E8</f>
        <v>0</v>
      </c>
      <c r="G4" s="20">
        <f>'На неделю'!F8</f>
        <v>0</v>
      </c>
      <c r="H4" s="20">
        <f>'На неделю'!G8</f>
        <v>0</v>
      </c>
      <c r="I4" s="20">
        <f>'На неделю'!H7</f>
        <v>0</v>
      </c>
      <c r="J4" s="20">
        <f>'На неделю'!I8</f>
        <v>0</v>
      </c>
      <c r="K4" s="20">
        <f>'На неделю'!J8</f>
        <v>0</v>
      </c>
      <c r="L4" s="20">
        <f>'На неделю'!K8</f>
        <v>0</v>
      </c>
      <c r="M4" s="20">
        <f>'На неделю'!L8</f>
        <v>0</v>
      </c>
      <c r="N4" s="20">
        <f>'На неделю'!M8</f>
        <v>0</v>
      </c>
      <c r="O4" s="20">
        <f>'На неделю'!N8</f>
        <v>0</v>
      </c>
      <c r="P4" s="20">
        <f>'На неделю'!O8</f>
        <v>0</v>
      </c>
      <c r="Q4" s="20">
        <f>'На неделю'!P8</f>
        <v>0</v>
      </c>
      <c r="R4" s="20">
        <f>'На неделю'!R8</f>
        <v>0</v>
      </c>
      <c r="S4" s="20">
        <f>'На неделю'!S8</f>
        <v>0</v>
      </c>
      <c r="T4" s="20" t="str">
        <f>'На неделю'!T8</f>
        <v>11.45 - 12.30    4 урок</v>
      </c>
      <c r="U4" s="20">
        <f>'На неделю'!U8</f>
        <v>0</v>
      </c>
      <c r="V4" s="43" t="str">
        <f>'На неделю'!A20</f>
        <v>Гордиевич Е.И.</v>
      </c>
      <c r="W4" s="21" t="str">
        <f>'На неделю'!B20</f>
        <v>Каминский Н.В.</v>
      </c>
      <c r="X4" s="21" t="str">
        <f>'На неделю'!C22</f>
        <v>Козенков</v>
      </c>
      <c r="Y4" s="21" t="str">
        <f>'На неделю'!D20</f>
        <v>Концевая Т.В.</v>
      </c>
      <c r="Z4" s="21" t="str">
        <f>'На неделю'!E21</f>
        <v>П/О</v>
      </c>
      <c r="AA4" s="21">
        <f>'На неделю'!F20</f>
        <v>0</v>
      </c>
      <c r="AB4" s="21" t="str">
        <f>'На неделю'!G20</f>
        <v>Якшина О.А.</v>
      </c>
      <c r="AC4" s="21" t="str">
        <f>'На неделю'!H20</f>
        <v>Цыбульская Е.А.</v>
      </c>
      <c r="AD4" s="21" t="str">
        <f>'На неделю'!I20</f>
        <v>Черненкова И.А.</v>
      </c>
      <c r="AE4" s="21" t="str">
        <f>'На неделю'!J20</f>
        <v>Ероха Е.В.</v>
      </c>
      <c r="AF4" s="21" t="e">
        <f>'На неделю'!#REF!</f>
        <v>#REF!</v>
      </c>
      <c r="AG4" s="21" t="str">
        <f>'На неделю'!L20</f>
        <v>Осипова Н.А.</v>
      </c>
      <c r="AH4" s="21" t="str">
        <f>'На неделю'!M20</f>
        <v xml:space="preserve">Артеменко А.А. </v>
      </c>
      <c r="AI4" s="21" t="str">
        <f>'На неделю'!N20</f>
        <v>Смирнов А.Н.</v>
      </c>
      <c r="AJ4" s="21" t="str">
        <f>'На неделю'!O20</f>
        <v>Исакова Н.К.</v>
      </c>
      <c r="AK4" s="21" t="str">
        <f>'На неделю'!P20</f>
        <v>Гончарова Ю.А.</v>
      </c>
      <c r="AL4" s="21" t="str">
        <f>'На неделю'!R20</f>
        <v>Буевич С.В.</v>
      </c>
      <c r="AM4" s="21">
        <f>'На неделю'!S20</f>
        <v>0</v>
      </c>
      <c r="AN4" s="21" t="str">
        <f>'На неделю'!T20</f>
        <v>11.45 - 12.30    4 урок</v>
      </c>
      <c r="AO4" s="22">
        <f>'На неделю'!U20</f>
        <v>0</v>
      </c>
      <c r="AP4" s="40"/>
      <c r="AQ4" s="19"/>
      <c r="AR4" s="19"/>
      <c r="AS4" s="19"/>
      <c r="AT4" s="19"/>
    </row>
    <row r="5" spans="1:47" s="23" customFormat="1" ht="91.5" customHeight="1" thickTop="1" thickBot="1" x14ac:dyDescent="0.25">
      <c r="A5" s="34">
        <v>3</v>
      </c>
      <c r="B5" s="20">
        <f>'На неделю'!A10</f>
        <v>0</v>
      </c>
      <c r="C5" s="20">
        <f>'На неделю'!B10</f>
        <v>0</v>
      </c>
      <c r="D5" s="20">
        <f>'На неделю'!C10</f>
        <v>0</v>
      </c>
      <c r="E5" s="20">
        <f>'На неделю'!D10</f>
        <v>0</v>
      </c>
      <c r="F5" s="20">
        <f>'На неделю'!E10</f>
        <v>0</v>
      </c>
      <c r="G5" s="20">
        <f>'На неделю'!F10</f>
        <v>0</v>
      </c>
      <c r="H5" s="20">
        <f>'На неделю'!G10</f>
        <v>0</v>
      </c>
      <c r="I5" s="20">
        <f>'На неделю'!H10</f>
        <v>0</v>
      </c>
      <c r="J5" s="20">
        <f>'На неделю'!I10</f>
        <v>0</v>
      </c>
      <c r="K5" s="20">
        <f>'На неделю'!J10</f>
        <v>0</v>
      </c>
      <c r="L5" s="20">
        <f>'На неделю'!K10</f>
        <v>0</v>
      </c>
      <c r="M5" s="20">
        <f>'На неделю'!L10</f>
        <v>0</v>
      </c>
      <c r="N5" s="20">
        <f>'На неделю'!M10</f>
        <v>0</v>
      </c>
      <c r="O5" s="20">
        <f>'На неделю'!N10</f>
        <v>0</v>
      </c>
      <c r="P5" s="20">
        <f>'На неделю'!O10</f>
        <v>0</v>
      </c>
      <c r="Q5" s="20">
        <f>'На неделю'!P10</f>
        <v>0</v>
      </c>
      <c r="R5" s="20">
        <f>'На неделю'!R10</f>
        <v>0</v>
      </c>
      <c r="S5" s="20">
        <f>'На неделю'!S10</f>
        <v>0</v>
      </c>
      <c r="T5" s="20" t="str">
        <f>'На неделю'!T10</f>
        <v>13.55 - 14.40     6 урок</v>
      </c>
      <c r="U5" s="20">
        <f>'На неделю'!U10</f>
        <v>0</v>
      </c>
      <c r="V5" s="43" t="str">
        <f>'На неделю'!A22</f>
        <v>Каминский Н.В.</v>
      </c>
      <c r="W5" s="21" t="str">
        <f>'На неделю'!B22</f>
        <v>Шумило Д.М.</v>
      </c>
      <c r="X5" s="21" t="e">
        <f>'На неделю'!#REF!</f>
        <v>#REF!</v>
      </c>
      <c r="Y5" s="21" t="str">
        <f>'На неделю'!D22</f>
        <v>Чекан Н.Н.</v>
      </c>
      <c r="Z5" s="21">
        <f>'На неделю'!E22</f>
        <v>0</v>
      </c>
      <c r="AA5" s="21" t="str">
        <f>'На неделю'!F18</f>
        <v>Курат. Час 51</v>
      </c>
      <c r="AB5" s="21" t="str">
        <f>'На неделю'!G22</f>
        <v>Физическая культ. (Ч)</v>
      </c>
      <c r="AC5" s="21" t="str">
        <f>'На неделю'!H22</f>
        <v>Гордиевич Е.И.</v>
      </c>
      <c r="AD5" s="21" t="str">
        <f>'На неделю'!I22</f>
        <v>Пр.черчение 12</v>
      </c>
      <c r="AE5" s="21" t="str">
        <f>'На неделю'!J22</f>
        <v>Сушинская Н.В.</v>
      </c>
      <c r="AF5" s="21" t="str">
        <f>'На неделю'!K22</f>
        <v>Якшина О.А.</v>
      </c>
      <c r="AG5" s="21" t="str">
        <f>'На неделю'!L22</f>
        <v>Федорцова А.Т.</v>
      </c>
      <c r="AH5" s="21" t="str">
        <f>'На неделю'!M22</f>
        <v>Смирнов А.Н.</v>
      </c>
      <c r="AI5" s="21" t="str">
        <f>'На неделю'!N22</f>
        <v xml:space="preserve">Артеменко А.А. </v>
      </c>
      <c r="AJ5" s="21" t="e">
        <f>'На неделю'!#REF!</f>
        <v>#REF!</v>
      </c>
      <c r="AK5" s="21" t="str">
        <f>'На неделю'!P22</f>
        <v>Исакова Н.К.</v>
      </c>
      <c r="AL5" s="21" t="str">
        <f>'На неделю'!R22</f>
        <v>Сем. Я.А./Степ. И.В.</v>
      </c>
      <c r="AM5" s="21">
        <f>'На неделю'!S22</f>
        <v>0</v>
      </c>
      <c r="AN5" s="21" t="str">
        <f>'На неделю'!T22</f>
        <v>13.55 - 14.40     6 урок</v>
      </c>
      <c r="AO5" s="22">
        <f>'На неделю'!U22</f>
        <v>0</v>
      </c>
      <c r="AP5" s="40"/>
      <c r="AQ5" s="19"/>
      <c r="AR5" s="19"/>
      <c r="AS5" s="19"/>
      <c r="AT5" s="19"/>
    </row>
    <row r="6" spans="1:47" s="23" customFormat="1" ht="91.5" customHeight="1" thickTop="1" thickBot="1" x14ac:dyDescent="0.25">
      <c r="A6" s="34">
        <v>4</v>
      </c>
      <c r="B6" s="20">
        <f>'На неделю'!A11</f>
        <v>0</v>
      </c>
      <c r="C6" s="20">
        <f>'На неделю'!B12</f>
        <v>0</v>
      </c>
      <c r="D6" s="20">
        <f>'На неделю'!C12</f>
        <v>0</v>
      </c>
      <c r="E6" s="20">
        <f>'На неделю'!D12</f>
        <v>0</v>
      </c>
      <c r="F6" s="20">
        <f>'На неделю'!E12</f>
        <v>0</v>
      </c>
      <c r="G6" s="20">
        <f>'На неделю'!F12</f>
        <v>0</v>
      </c>
      <c r="H6" s="20">
        <f>'На неделю'!G12</f>
        <v>0</v>
      </c>
      <c r="I6" s="20">
        <f>'На неделю'!H12</f>
        <v>0</v>
      </c>
      <c r="J6" s="20">
        <f>'На неделю'!I12</f>
        <v>0</v>
      </c>
      <c r="K6" s="20">
        <f>'На неделю'!J12</f>
        <v>0</v>
      </c>
      <c r="L6" s="20">
        <f>'На неделю'!K12</f>
        <v>0</v>
      </c>
      <c r="M6" s="20">
        <f>'На неделю'!L12</f>
        <v>0</v>
      </c>
      <c r="N6" s="20">
        <f>'На неделю'!M12</f>
        <v>0</v>
      </c>
      <c r="O6" s="20">
        <f>'На неделю'!N12</f>
        <v>0</v>
      </c>
      <c r="P6" s="20">
        <f>'На неделю'!O12</f>
        <v>0</v>
      </c>
      <c r="Q6" s="20">
        <f>'На неделю'!P12</f>
        <v>0</v>
      </c>
      <c r="R6" s="20">
        <f>'На неделю'!R12</f>
        <v>0</v>
      </c>
      <c r="S6" s="20">
        <f>'На неделю'!S12</f>
        <v>0</v>
      </c>
      <c r="T6" s="20" t="str">
        <f>'На неделю'!T12</f>
        <v xml:space="preserve">15.45 - 16.30     8 урок </v>
      </c>
      <c r="U6" s="20">
        <f>'На неделю'!U12</f>
        <v>0</v>
      </c>
      <c r="V6" s="43">
        <f>'На неделю'!A24</f>
        <v>0</v>
      </c>
      <c r="W6" s="21" t="str">
        <f>'На неделю'!B24</f>
        <v>Шумило Д.М.</v>
      </c>
      <c r="X6" s="21" t="str">
        <f>'На неделю'!C24</f>
        <v>Гордиевич Е.И.</v>
      </c>
      <c r="Y6" s="21">
        <f>'На неделю'!D24</f>
        <v>0</v>
      </c>
      <c r="Z6" s="21" t="e">
        <f>'На неделю'!#REF!</f>
        <v>#REF!</v>
      </c>
      <c r="AA6" s="21">
        <f>'На неделю'!F24</f>
        <v>0</v>
      </c>
      <c r="AB6" s="21">
        <f>'На неделю'!G24</f>
        <v>0</v>
      </c>
      <c r="AC6" s="21">
        <f>'На неделю'!H24</f>
        <v>0</v>
      </c>
      <c r="AD6" s="21">
        <f>'На неделю'!I24</f>
        <v>0</v>
      </c>
      <c r="AE6" s="21">
        <f>'На неделю'!J24</f>
        <v>0</v>
      </c>
      <c r="AF6" s="21">
        <f>'На неделю'!K24</f>
        <v>0</v>
      </c>
      <c r="AG6" s="21">
        <f>'На неделю'!L24</f>
        <v>0</v>
      </c>
      <c r="AH6" s="21">
        <f>'На неделю'!M24</f>
        <v>0</v>
      </c>
      <c r="AI6" s="21" t="str">
        <f>'На неделю'!O22</f>
        <v>Гончарова Ю.А.</v>
      </c>
      <c r="AJ6" s="21">
        <f>'На неделю'!O24</f>
        <v>0</v>
      </c>
      <c r="AK6" s="21">
        <f>'На неделю'!P24</f>
        <v>0</v>
      </c>
      <c r="AL6" s="21">
        <f>'На неделю'!R24</f>
        <v>0</v>
      </c>
      <c r="AM6" s="21">
        <f>'На неделю'!S24</f>
        <v>0</v>
      </c>
      <c r="AN6" s="21" t="str">
        <f>'На неделю'!T24</f>
        <v xml:space="preserve">15.45 - 16.30     8 урок </v>
      </c>
      <c r="AO6" s="22">
        <f>'На неделю'!U24</f>
        <v>0</v>
      </c>
      <c r="AP6" s="40"/>
      <c r="AQ6" s="19"/>
      <c r="AR6" s="19"/>
      <c r="AS6" s="19"/>
      <c r="AT6" s="19"/>
    </row>
    <row r="7" spans="1:47" s="28" customFormat="1" ht="16.5" thickTop="1" thickBot="1" x14ac:dyDescent="0.3">
      <c r="A7" s="129" t="s">
        <v>2</v>
      </c>
      <c r="B7" s="129"/>
      <c r="C7" s="129"/>
      <c r="D7" s="129"/>
      <c r="E7" s="129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0"/>
      <c r="V7" s="128" t="s">
        <v>3</v>
      </c>
      <c r="W7" s="129"/>
      <c r="X7" s="129"/>
      <c r="Y7" s="129"/>
      <c r="Z7" s="129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29"/>
      <c r="AL7" s="129"/>
      <c r="AM7" s="129"/>
      <c r="AN7" s="129"/>
      <c r="AO7" s="129"/>
      <c r="AP7" s="42"/>
      <c r="AQ7"/>
      <c r="AR7"/>
      <c r="AS7"/>
      <c r="AT7"/>
    </row>
    <row r="8" spans="1:47" s="28" customFormat="1" ht="100.5" thickTop="1" thickBot="1" x14ac:dyDescent="0.25">
      <c r="A8" s="34">
        <v>1</v>
      </c>
      <c r="B8" s="29" t="str">
        <f>'На неделю'!A30</f>
        <v xml:space="preserve">Ануфриева/Степанова </v>
      </c>
      <c r="C8" s="29">
        <f>'На неделю'!B30</f>
        <v>0</v>
      </c>
      <c r="D8" s="29">
        <f>'На неделю'!C30</f>
        <v>0</v>
      </c>
      <c r="E8" s="29" t="str">
        <f>'На неделю'!D30</f>
        <v>Голубева Н.И.</v>
      </c>
      <c r="F8" s="29">
        <f>'На неделю'!E30</f>
        <v>0</v>
      </c>
      <c r="G8" s="29" t="str">
        <f>'На неделю'!F30</f>
        <v>Цыбульская Е.А.</v>
      </c>
      <c r="H8" s="29" t="e">
        <f>'На неделю'!#REF!</f>
        <v>#REF!</v>
      </c>
      <c r="I8" s="29" t="str">
        <f>'На неделю'!H30</f>
        <v>Гордиевич Е.И.</v>
      </c>
      <c r="J8" s="29" t="str">
        <f>'На неделю'!I30</f>
        <v>Бел.язык 35(14)</v>
      </c>
      <c r="K8" s="29" t="str">
        <f>'На неделю'!J30</f>
        <v>Физ. культура (Ст/Ч)</v>
      </c>
      <c r="L8" s="29" t="str">
        <f>'На неделю'!K30</f>
        <v>Гончарова Ю.А.</v>
      </c>
      <c r="M8" s="29" t="str">
        <f>'На неделю'!L30</f>
        <v>Буевич С.В.</v>
      </c>
      <c r="N8" s="29" t="str">
        <f>'На неделю'!M30</f>
        <v>Федорцова А.Т.</v>
      </c>
      <c r="O8" s="29" t="str">
        <f>'На неделю'!N30</f>
        <v>Сушинская Н.В.</v>
      </c>
      <c r="P8" s="29" t="str">
        <f>'На неделю'!O30</f>
        <v>Страх В.М.</v>
      </c>
      <c r="Q8" s="29" t="str">
        <f>'На неделю'!P30</f>
        <v>Гаврилкина Л.П.</v>
      </c>
      <c r="R8" s="29" t="str">
        <f>'На неделю'!R30</f>
        <v>Якшина О.А.</v>
      </c>
      <c r="S8" s="29">
        <f>'На неделю'!S30</f>
        <v>0</v>
      </c>
      <c r="T8" s="29" t="str">
        <f>'На неделю'!T30</f>
        <v>9.55 - 10.40    2 урок</v>
      </c>
      <c r="U8" s="29">
        <f>'На неделю'!U30</f>
        <v>0</v>
      </c>
      <c r="V8" s="44" t="str">
        <f>'На неделю'!A42</f>
        <v xml:space="preserve">Ануфриева/Семенова </v>
      </c>
      <c r="W8" s="23">
        <f>'На неделю'!B42</f>
        <v>0</v>
      </c>
      <c r="X8" s="23">
        <f>'На неделю'!C42</f>
        <v>0</v>
      </c>
      <c r="Y8" s="23" t="str">
        <f>'На неделю'!D42</f>
        <v>Чекан Н.Н.</v>
      </c>
      <c r="Z8" s="23">
        <f>'На неделю'!E42</f>
        <v>0</v>
      </c>
      <c r="AA8" s="23" t="str">
        <f>'На неделю'!F42</f>
        <v>Каминский Н.В.</v>
      </c>
      <c r="AB8" s="23" t="str">
        <f>'На неделю'!G42</f>
        <v>Шумило Д.М.</v>
      </c>
      <c r="AC8" s="23" t="str">
        <f>'На неделю'!H42</f>
        <v>Гордиевич Е.И.</v>
      </c>
      <c r="AD8" s="23" t="str">
        <f>'На неделю'!I42</f>
        <v>Исакова Н.К.</v>
      </c>
      <c r="AE8" s="23" t="str">
        <f>'На неделю'!J42</f>
        <v>Буевич С.В.</v>
      </c>
      <c r="AF8" s="23" t="str">
        <f>'На неделю'!K42</f>
        <v>Гончарова Ю.А.</v>
      </c>
      <c r="AG8" s="23" t="str">
        <f>'На неделю'!L42</f>
        <v>Федорцова А.Т.</v>
      </c>
      <c r="AH8" s="23" t="str">
        <f>'На неделю'!M42</f>
        <v>Черненкова И.А.</v>
      </c>
      <c r="AI8" s="23" t="str">
        <f>'На неделю'!N42</f>
        <v>Якшина О.А.</v>
      </c>
      <c r="AJ8" s="23" t="str">
        <f>'На неделю'!O42</f>
        <v>Страх В.М.</v>
      </c>
      <c r="AK8" s="23" t="str">
        <f>'На неделю'!P42</f>
        <v>Цыбульская Е.А.</v>
      </c>
      <c r="AL8" s="23" t="str">
        <f>'На неделю'!R42</f>
        <v>Гаврилкина Л.П.</v>
      </c>
      <c r="AM8" s="23">
        <f>'На неделю'!S42</f>
        <v>0</v>
      </c>
      <c r="AN8" s="23" t="str">
        <f>'На неделю'!T42</f>
        <v>9.55 - 10.40    2 урок</v>
      </c>
      <c r="AO8" s="30">
        <f>'На неделю'!U42</f>
        <v>0</v>
      </c>
      <c r="AP8" s="42"/>
      <c r="AQ8"/>
      <c r="AR8"/>
      <c r="AS8"/>
      <c r="AT8"/>
    </row>
    <row r="9" spans="1:47" s="28" customFormat="1" ht="104.25" thickTop="1" thickBot="1" x14ac:dyDescent="0.25">
      <c r="A9" s="34">
        <v>2</v>
      </c>
      <c r="B9" s="29" t="str">
        <f>'На неделю'!A32</f>
        <v>Каминский Н.В.</v>
      </c>
      <c r="C9" s="29" t="str">
        <f>'На неделю'!B32</f>
        <v>ПП</v>
      </c>
      <c r="D9" s="29" t="str">
        <f>'На неделю'!C32</f>
        <v>ПО</v>
      </c>
      <c r="E9" s="29" t="str">
        <f>'На неделю'!D32</f>
        <v>Голубева Н.И.</v>
      </c>
      <c r="F9" s="29" t="str">
        <f>'На неделю'!E32</f>
        <v>П/О</v>
      </c>
      <c r="G9" s="29" t="str">
        <f>'На неделю'!F32</f>
        <v>Шумило Д.М.</v>
      </c>
      <c r="H9" s="29" t="str">
        <f>'На неделю'!G32</f>
        <v>Гордиевич Е.И.</v>
      </c>
      <c r="I9" s="29" t="str">
        <f>'На неделю'!H32</f>
        <v>Цыбульская Е.А.</v>
      </c>
      <c r="J9" s="29" t="str">
        <f>'На неделю'!G30</f>
        <v>Шумило Д.М.</v>
      </c>
      <c r="K9" s="29" t="str">
        <f>'На неделю'!J32</f>
        <v>Сушинская Н.В.</v>
      </c>
      <c r="L9" s="29" t="str">
        <f>'На неделю'!K32</f>
        <v>Рус.язык 34 (13)</v>
      </c>
      <c r="M9" s="29" t="str">
        <f>'На неделю'!L32</f>
        <v>Якшина О.А.</v>
      </c>
      <c r="N9" s="29" t="str">
        <f>'На неделю'!M32</f>
        <v>Гончарова Ю.А.</v>
      </c>
      <c r="O9" s="29" t="str">
        <f>'На неделю'!N32</f>
        <v xml:space="preserve">Артеменко А.А. </v>
      </c>
      <c r="P9" s="29" t="str">
        <f>'На неделю'!O32</f>
        <v>Физ. культура (Ст/Ч)</v>
      </c>
      <c r="Q9" s="29" t="str">
        <f>'На неделю'!P32</f>
        <v>Черненкова И.А.</v>
      </c>
      <c r="R9" s="29" t="str">
        <f>'На неделю'!R32</f>
        <v>География 32 (11)</v>
      </c>
      <c r="S9" s="29">
        <f>'На неделю'!S32</f>
        <v>0</v>
      </c>
      <c r="T9" s="29" t="str">
        <f>'На неделю'!T32</f>
        <v>11.45 - 12.30    4 урок</v>
      </c>
      <c r="U9" s="29">
        <f>'На неделю'!U32</f>
        <v>0</v>
      </c>
      <c r="V9" s="44" t="str">
        <f>'На неделю'!A44</f>
        <v>Каминский Н.В.</v>
      </c>
      <c r="W9" s="23" t="str">
        <f>'На неделю'!B44</f>
        <v>ПП</v>
      </c>
      <c r="X9" s="23" t="str">
        <f>'На неделю'!C44</f>
        <v>ПО</v>
      </c>
      <c r="Y9" s="23" t="str">
        <f>'На неделю'!D44</f>
        <v>Чекан Н.Н.</v>
      </c>
      <c r="Z9" s="23" t="str">
        <f>'На неделю'!E44</f>
        <v>П/О</v>
      </c>
      <c r="AA9" s="23" t="str">
        <f>'На неделю'!F44</f>
        <v>Гордиевич Е.И.</v>
      </c>
      <c r="AB9" s="23" t="str">
        <f>'На неделю'!G44</f>
        <v>Цыбульская Е.А.</v>
      </c>
      <c r="AC9" s="23" t="str">
        <f>'На неделю'!H44</f>
        <v>Шумило Д.М.</v>
      </c>
      <c r="AD9" s="23" t="str">
        <f>'На неделю'!I44</f>
        <v>Черненкова И.А.</v>
      </c>
      <c r="AE9" s="23" t="str">
        <f>'На неделю'!J44</f>
        <v xml:space="preserve">Ануфриева/Семенова </v>
      </c>
      <c r="AF9" s="23" t="str">
        <f>'На неделю'!K44</f>
        <v>Сушинская Н.В.</v>
      </c>
      <c r="AG9" s="23" t="str">
        <f>'На неделю'!L44</f>
        <v>Гаврилкина Л.П.</v>
      </c>
      <c r="AH9" s="23" t="str">
        <f>'На неделю'!M44</f>
        <v>Рус.язык 34 (13)</v>
      </c>
      <c r="AI9" s="23" t="str">
        <f>'На неделю'!N44</f>
        <v>Физическая культура (Ч)</v>
      </c>
      <c r="AJ9" s="23" t="str">
        <f>'На неделю'!O44</f>
        <v>Федорцова А.Т.</v>
      </c>
      <c r="AK9" s="23" t="str">
        <f>'На неделю'!P44</f>
        <v>Гончарова Ю.А.</v>
      </c>
      <c r="AL9" s="23" t="str">
        <f>'На неделю'!R44</f>
        <v>Якшина О.А.</v>
      </c>
      <c r="AM9" s="23">
        <f>'На неделю'!S44</f>
        <v>0</v>
      </c>
      <c r="AN9" s="23" t="str">
        <f>'На неделю'!T44</f>
        <v>11.45 - 12.30    4 урок</v>
      </c>
      <c r="AO9" s="30">
        <f>'На неделю'!U44</f>
        <v>0</v>
      </c>
      <c r="AP9" s="42"/>
      <c r="AQ9"/>
      <c r="AR9"/>
      <c r="AS9"/>
      <c r="AT9"/>
    </row>
    <row r="10" spans="1:47" s="28" customFormat="1" ht="104.25" thickTop="1" thickBot="1" x14ac:dyDescent="0.25">
      <c r="A10" s="34">
        <v>3</v>
      </c>
      <c r="B10" s="29" t="str">
        <f>'На неделю'!A34</f>
        <v>Каминский Н.В.</v>
      </c>
      <c r="C10" s="29">
        <f>'На неделю'!B34</f>
        <v>0</v>
      </c>
      <c r="D10" s="29">
        <f>'На неделю'!C34</f>
        <v>0</v>
      </c>
      <c r="E10" s="29" t="str">
        <f>'На неделю'!D34</f>
        <v>Чекан Н.Н.</v>
      </c>
      <c r="F10" s="29" t="str">
        <f>'На неделю'!E34</f>
        <v>Осипова Н.А.</v>
      </c>
      <c r="G10" s="29" t="str">
        <f>'На неделю'!F34</f>
        <v>Гордиевич Е.И.</v>
      </c>
      <c r="H10" s="29" t="str">
        <f>'На неделю'!G34</f>
        <v xml:space="preserve">Артеменко А.А. </v>
      </c>
      <c r="I10" s="29" t="str">
        <f>'На неделю'!H34</f>
        <v>Шумило Д.М.</v>
      </c>
      <c r="J10" s="29" t="str">
        <f>'На неделю'!I34</f>
        <v xml:space="preserve">Ануфриева/Семенова </v>
      </c>
      <c r="K10" s="29" t="str">
        <f>'На неделю'!J34</f>
        <v>Осипова Н.А.</v>
      </c>
      <c r="L10" s="29" t="str">
        <f>'На неделю'!K34</f>
        <v>Якшина О.А.</v>
      </c>
      <c r="M10" s="29" t="str">
        <f>'На неделю'!L34</f>
        <v>Черненкова И.А.</v>
      </c>
      <c r="N10" s="29" t="str">
        <f>'На неделю'!M34</f>
        <v>Буевич С.В.</v>
      </c>
      <c r="O10" s="29" t="str">
        <f>'На неделю'!N34</f>
        <v>Федорцова А.Т.</v>
      </c>
      <c r="P10" s="29" t="str">
        <f>'На неделю'!O34</f>
        <v>Гаврилкина Л.П.</v>
      </c>
      <c r="Q10" s="29" t="str">
        <f>'На неделю'!P34</f>
        <v>История Беларуси 21(5)</v>
      </c>
      <c r="R10" s="29" t="str">
        <f>'На неделю'!R34</f>
        <v>Физ. культура (Ст/Ч)</v>
      </c>
      <c r="S10" s="29">
        <f>'На неделю'!S34</f>
        <v>0</v>
      </c>
      <c r="T10" s="29" t="str">
        <f>'На неделю'!T34</f>
        <v>13.55 - 14.40     6 урок</v>
      </c>
      <c r="U10" s="29">
        <f>'На неделю'!U34</f>
        <v>0</v>
      </c>
      <c r="V10" s="44" t="str">
        <f>'На неделю'!A46</f>
        <v xml:space="preserve">Ануфриева/Степанова </v>
      </c>
      <c r="W10" s="23">
        <f>'На неделю'!B46</f>
        <v>0</v>
      </c>
      <c r="X10" s="23">
        <f>'На неделю'!C46</f>
        <v>0</v>
      </c>
      <c r="Y10" s="23" t="str">
        <f>'На неделю'!D46</f>
        <v>Голубева Н.И.</v>
      </c>
      <c r="Z10" s="23" t="str">
        <f>'На неделю'!E46</f>
        <v>"Учебный</v>
      </c>
      <c r="AA10" s="23" t="str">
        <f>'На неделю'!F46</f>
        <v>Шумило Д.М.</v>
      </c>
      <c r="AB10" s="23" t="str">
        <f>'На неделю'!G46</f>
        <v>Гордиевич Е.И.</v>
      </c>
      <c r="AC10" s="23" t="str">
        <f>'На неделю'!H46</f>
        <v>Физическая культура (Ч)</v>
      </c>
      <c r="AD10" s="23" t="str">
        <f>'На неделю'!I46</f>
        <v xml:space="preserve">Осипова Н.А. </v>
      </c>
      <c r="AE10" s="23" t="str">
        <f>'На неделю'!J46</f>
        <v>Страх В.М.</v>
      </c>
      <c r="AF10" s="23" t="str">
        <f>'На неделю'!K46</f>
        <v>Гончарова Ю.А.</v>
      </c>
      <c r="AG10" s="23" t="str">
        <f>'На неделю'!L46</f>
        <v>Рус. литература 34(13)</v>
      </c>
      <c r="AH10" s="23" t="str">
        <f>'На неделю'!M46</f>
        <v>Гаврилкина Л.П.</v>
      </c>
      <c r="AI10" s="23" t="str">
        <f>'На неделю'!N46</f>
        <v>Буевич С.В.</v>
      </c>
      <c r="AJ10" s="23" t="str">
        <f>'На неделю'!O46</f>
        <v>Сушинская Н.В.</v>
      </c>
      <c r="AK10" s="23" t="str">
        <f>'На неделю'!P46</f>
        <v>Федорцова А.Т.</v>
      </c>
      <c r="AL10" s="23" t="str">
        <f>'На неделю'!R46</f>
        <v>Цыбульская Е.А.</v>
      </c>
      <c r="AM10" s="23">
        <f>'На неделю'!S46</f>
        <v>0</v>
      </c>
      <c r="AN10" s="23" t="str">
        <f>'На неделю'!T46</f>
        <v>13.55 - 14.40     6 урок</v>
      </c>
      <c r="AO10" s="30">
        <f>'На неделю'!U46</f>
        <v>0</v>
      </c>
      <c r="AP10" s="42"/>
      <c r="AQ10"/>
      <c r="AR10"/>
      <c r="AS10"/>
      <c r="AT10"/>
    </row>
    <row r="11" spans="1:47" s="28" customFormat="1" ht="104.25" thickTop="1" thickBot="1" x14ac:dyDescent="0.25">
      <c r="A11" s="34">
        <v>4</v>
      </c>
      <c r="B11" s="29" t="str">
        <f>'На неделю'!A36</f>
        <v xml:space="preserve">Ануфриева/Семенова </v>
      </c>
      <c r="C11" s="29">
        <f>'На неделю'!B36</f>
        <v>0</v>
      </c>
      <c r="D11" s="29">
        <f>'На неделю'!C36</f>
        <v>0</v>
      </c>
      <c r="E11" s="29" t="str">
        <f>'На неделю'!D36</f>
        <v>Чекан Н.Н.</v>
      </c>
      <c r="F11" s="29">
        <f>'На неделю'!E36</f>
        <v>0</v>
      </c>
      <c r="G11" s="29" t="str">
        <f>'На неделю'!F36</f>
        <v>--------------------------------</v>
      </c>
      <c r="H11" s="29" t="str">
        <f>'На неделю'!G36</f>
        <v>--------------------------------</v>
      </c>
      <c r="I11" s="29" t="str">
        <f>'На неделю'!H36</f>
        <v>--------------------------------</v>
      </c>
      <c r="J11" s="29" t="str">
        <f>'На неделю'!I36</f>
        <v>--------------------------------</v>
      </c>
      <c r="K11" s="29" t="str">
        <f>'На неделю'!J36</f>
        <v>--------------------------------</v>
      </c>
      <c r="L11" s="29" t="str">
        <f>'На неделю'!K36</f>
        <v>--------------------------------</v>
      </c>
      <c r="M11" s="29" t="str">
        <f>'На неделю'!L36</f>
        <v>--------------------------------</v>
      </c>
      <c r="N11" s="29" t="str">
        <f>'На неделю'!M36</f>
        <v>--------------------------------</v>
      </c>
      <c r="O11" s="29" t="str">
        <f>'На неделю'!N36</f>
        <v>--------------------------------</v>
      </c>
      <c r="P11" s="29" t="str">
        <f>'На неделю'!O36</f>
        <v>--------------------------------</v>
      </c>
      <c r="Q11" s="29" t="str">
        <f>'На неделю'!P36</f>
        <v>--------------------------------</v>
      </c>
      <c r="R11" s="29" t="str">
        <f>'На неделю'!R36</f>
        <v>--------------------------------</v>
      </c>
      <c r="S11" s="29">
        <f>'На неделю'!S36</f>
        <v>0</v>
      </c>
      <c r="T11" s="29" t="str">
        <f>'На неделю'!T36</f>
        <v xml:space="preserve">15.45 - 16.30     8 урок </v>
      </c>
      <c r="U11" s="29">
        <f>'На неделю'!U36</f>
        <v>0</v>
      </c>
      <c r="V11" s="44" t="str">
        <f>'На неделю'!A48</f>
        <v>Гордиевич Е.И.</v>
      </c>
      <c r="W11" s="23">
        <f>'На неделю'!B48</f>
        <v>0</v>
      </c>
      <c r="X11" s="23">
        <f>'На неделю'!C48</f>
        <v>0</v>
      </c>
      <c r="Y11" s="23" t="str">
        <f>'На неделю'!D48</f>
        <v>Голубева Н.И.</v>
      </c>
      <c r="Z11" s="23">
        <f>'На неделю'!E48</f>
        <v>0</v>
      </c>
      <c r="AA11" s="23" t="str">
        <f>'На неделю'!F48</f>
        <v>Физическая культура (Ч)</v>
      </c>
      <c r="AB11" s="23" t="str">
        <f>'На неделю'!G48</f>
        <v>--------------------------------</v>
      </c>
      <c r="AC11" s="23" t="str">
        <f>'На неделю'!H48</f>
        <v>Сушинская Н.В.</v>
      </c>
      <c r="AD11" s="23" t="str">
        <f>'На неделю'!I48</f>
        <v>--------------------------------</v>
      </c>
      <c r="AE11" s="23" t="str">
        <f>'На неделю'!J48</f>
        <v xml:space="preserve">Ануфриева/Степанова </v>
      </c>
      <c r="AF11" s="23" t="str">
        <f>'На неделю'!K48</f>
        <v>Земец И.И.</v>
      </c>
      <c r="AG11" s="23" t="str">
        <f>'На неделю'!L48</f>
        <v>--------------------------------</v>
      </c>
      <c r="AH11" s="23" t="str">
        <f>'На неделю'!M48</f>
        <v>--------------------------------</v>
      </c>
      <c r="AI11" s="23" t="str">
        <f>'На неделю'!N48</f>
        <v>Гаврилкина Л.П.</v>
      </c>
      <c r="AJ11" s="23" t="str">
        <f>'На неделю'!O48</f>
        <v>Федорцова А.Т.</v>
      </c>
      <c r="AK11" s="23" t="str">
        <f>'На неделю'!P48</f>
        <v>Страх В.М.</v>
      </c>
      <c r="AL11" s="23" t="str">
        <f>'На неделю'!R48</f>
        <v>Исакова Н.К.</v>
      </c>
      <c r="AM11" s="23">
        <f>'На неделю'!S48</f>
        <v>0</v>
      </c>
      <c r="AN11" s="23" t="str">
        <f>'На неделю'!T48</f>
        <v xml:space="preserve">15.45 - 16.30     8 урок </v>
      </c>
      <c r="AO11" s="30">
        <f>'На неделю'!U48</f>
        <v>0</v>
      </c>
      <c r="AP11" s="36"/>
      <c r="AQ11"/>
      <c r="AR11"/>
      <c r="AS11"/>
      <c r="AT11"/>
    </row>
    <row r="12" spans="1:47" s="28" customFormat="1" ht="16.5" thickTop="1" thickBot="1" x14ac:dyDescent="0.3">
      <c r="A12" s="129" t="s">
        <v>4</v>
      </c>
      <c r="B12" s="129"/>
      <c r="C12" s="129"/>
      <c r="D12" s="129"/>
      <c r="E12" s="129"/>
      <c r="F12" s="129"/>
      <c r="G12" s="129"/>
      <c r="H12" s="129"/>
      <c r="I12" s="129"/>
      <c r="J12" s="129"/>
      <c r="K12" s="129"/>
      <c r="L12" s="129"/>
      <c r="M12" s="129"/>
      <c r="N12" s="129"/>
      <c r="O12" s="129"/>
      <c r="P12" s="129"/>
      <c r="Q12" s="129"/>
      <c r="R12" s="129"/>
      <c r="S12" s="129"/>
      <c r="T12" s="129"/>
      <c r="U12" s="130"/>
      <c r="V12" s="128"/>
      <c r="W12" s="129"/>
      <c r="X12" s="129"/>
      <c r="Y12" s="129"/>
      <c r="Z12" s="129"/>
      <c r="AA12" s="129"/>
      <c r="AB12" s="129"/>
      <c r="AC12" s="129"/>
      <c r="AD12" s="129"/>
      <c r="AE12" s="129"/>
      <c r="AF12" s="129"/>
      <c r="AG12" s="129"/>
      <c r="AH12" s="129"/>
      <c r="AI12" s="129"/>
      <c r="AJ12" s="129"/>
      <c r="AK12" s="129"/>
      <c r="AL12" s="129"/>
      <c r="AM12" s="129"/>
      <c r="AN12" s="129"/>
      <c r="AO12" s="129"/>
      <c r="AP12" s="131"/>
      <c r="AQ12"/>
      <c r="AR12"/>
      <c r="AS12"/>
      <c r="AT12"/>
    </row>
    <row r="13" spans="1:47" s="28" customFormat="1" ht="100.5" thickTop="1" thickBot="1" x14ac:dyDescent="0.25">
      <c r="A13" s="34">
        <v>1</v>
      </c>
      <c r="B13" s="31" t="str">
        <f>'На неделю'!A54</f>
        <v>Каминский Н.В.</v>
      </c>
      <c r="C13" s="31">
        <f>'На неделю'!B54</f>
        <v>0</v>
      </c>
      <c r="D13" s="31">
        <f>'На неделю'!C54</f>
        <v>0</v>
      </c>
      <c r="E13" s="31" t="str">
        <f>'На неделю'!D54</f>
        <v>Чекан Н.Н.</v>
      </c>
      <c r="F13" s="31">
        <f>'На неделю'!E54</f>
        <v>0</v>
      </c>
      <c r="G13" s="31" t="str">
        <f>'На неделю'!F54</f>
        <v>Гордиевич Е.И.</v>
      </c>
      <c r="H13" s="31" t="str">
        <f>'На неделю'!G54</f>
        <v xml:space="preserve">Артеменко А.А. </v>
      </c>
      <c r="I13" s="31" t="str">
        <f>'На неделю'!H54</f>
        <v>Якшина О.А.</v>
      </c>
      <c r="J13" s="31" t="str">
        <f>'На неделю'!I54</f>
        <v xml:space="preserve">Ануфриева/Степанова </v>
      </c>
      <c r="K13" s="31" t="e">
        <f>'На неделю'!#REF!</f>
        <v>#REF!</v>
      </c>
      <c r="L13" s="31" t="str">
        <f>'На неделю'!K54</f>
        <v>Бел.литература 35(14)</v>
      </c>
      <c r="M13" s="31" t="str">
        <f>'На неделю'!L54</f>
        <v>Буевич С.В.</v>
      </c>
      <c r="N13" s="31" t="str">
        <f>'На неделю'!M54</f>
        <v>Федорцова А.Т.</v>
      </c>
      <c r="O13" s="31" t="str">
        <f>'На неделю'!N54</f>
        <v>Цыбульская Е.А.</v>
      </c>
      <c r="P13" s="31" t="str">
        <f>'На неделю'!O54</f>
        <v>Физ. культура (Ст/Ч)</v>
      </c>
      <c r="Q13" s="31" t="str">
        <f>'На неделю'!P54</f>
        <v>Гаврилкина Л.П.</v>
      </c>
      <c r="R13" s="31" t="str">
        <f>'На неделю'!R54</f>
        <v>Осипова Н.А.</v>
      </c>
      <c r="S13" s="31">
        <f>'На неделю'!S54</f>
        <v>0</v>
      </c>
      <c r="T13" s="31" t="str">
        <f>'На неделю'!T54</f>
        <v>9.55 - 10.40    2 урок</v>
      </c>
      <c r="U13" s="31">
        <f>'На неделю'!U54</f>
        <v>0</v>
      </c>
      <c r="V13" s="52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42"/>
      <c r="AQ13"/>
      <c r="AR13"/>
      <c r="AS13"/>
      <c r="AT13"/>
    </row>
    <row r="14" spans="1:47" s="28" customFormat="1" ht="101.25" thickTop="1" thickBot="1" x14ac:dyDescent="0.85">
      <c r="A14" s="34">
        <v>2</v>
      </c>
      <c r="B14" s="31" t="str">
        <f>'На неделю'!A56</f>
        <v>Каминский Н.В.</v>
      </c>
      <c r="C14" s="31" t="str">
        <f>'На неделю'!B56</f>
        <v>ПП</v>
      </c>
      <c r="D14" s="31" t="str">
        <f>'На неделю'!C56</f>
        <v>ПО</v>
      </c>
      <c r="E14" s="31" t="str">
        <f>'На неделю'!D56</f>
        <v>Чекан Н.Н.</v>
      </c>
      <c r="F14" s="31" t="str">
        <f>'На неделю'!E56</f>
        <v>П/О</v>
      </c>
      <c r="G14" s="31" t="str">
        <f>'На неделю'!F56</f>
        <v>Якшина О.А.</v>
      </c>
      <c r="H14" s="31" t="str">
        <f>'На неделю'!G56</f>
        <v>Гордиевич Е.И.</v>
      </c>
      <c r="I14" s="31" t="str">
        <f>'На неделю'!H56</f>
        <v xml:space="preserve">Артеменко А.А. </v>
      </c>
      <c r="J14" s="31" t="str">
        <f>'На неделю'!I56</f>
        <v>История Беларуси 21(5)</v>
      </c>
      <c r="K14" s="31" t="str">
        <f>'На неделю'!J56</f>
        <v>Физ. культура (Ст/Ч)</v>
      </c>
      <c r="L14" s="31" t="str">
        <f>'На неделю'!K56</f>
        <v xml:space="preserve">Ануфриева/Степанова </v>
      </c>
      <c r="M14" s="31" t="str">
        <f>'На неделю'!L56</f>
        <v>Гончарова Ю.А.</v>
      </c>
      <c r="N14" s="31" t="str">
        <f>'На неделю'!M56</f>
        <v>Цыбульская Е.А.</v>
      </c>
      <c r="O14" s="31" t="str">
        <f>'На неделю'!N56</f>
        <v>Исакова Н.К.</v>
      </c>
      <c r="P14" s="31" t="str">
        <f>'На неделю'!O56</f>
        <v>Черненкова И.А.</v>
      </c>
      <c r="Q14" s="31" t="str">
        <f>'На неделю'!P56</f>
        <v>Буевич С.В.</v>
      </c>
      <c r="R14" s="31" t="str">
        <f>'На неделю'!R56</f>
        <v>Федорцова А.Т.</v>
      </c>
      <c r="S14" s="31">
        <f>'На неделю'!S56</f>
        <v>0</v>
      </c>
      <c r="T14" s="31" t="str">
        <f>'На неделю'!T56</f>
        <v>11.45 - 12.30    4 урок</v>
      </c>
      <c r="U14" s="31">
        <f>'На неделю'!U56</f>
        <v>0</v>
      </c>
      <c r="V14" s="52"/>
      <c r="W14" s="125"/>
      <c r="X14" s="126"/>
      <c r="Y14" s="126"/>
      <c r="Z14" s="126"/>
      <c r="AA14" s="126"/>
      <c r="AB14" s="126"/>
      <c r="AC14" s="126"/>
      <c r="AD14" s="126"/>
      <c r="AE14" s="126"/>
      <c r="AF14" s="126"/>
      <c r="AG14" s="126"/>
      <c r="AH14" s="126"/>
      <c r="AI14" s="126"/>
      <c r="AJ14" s="126"/>
      <c r="AK14" s="126"/>
      <c r="AL14" s="126"/>
      <c r="AM14" s="126"/>
      <c r="AN14" s="126"/>
      <c r="AO14" s="127"/>
      <c r="AP14" s="42"/>
      <c r="AQ14"/>
      <c r="AR14"/>
      <c r="AS14"/>
      <c r="AT14"/>
    </row>
    <row r="15" spans="1:47" s="28" customFormat="1" ht="98.25" thickTop="1" thickBot="1" x14ac:dyDescent="0.25">
      <c r="A15" s="34">
        <v>3</v>
      </c>
      <c r="B15" s="31" t="str">
        <f>'На неделю'!A58</f>
        <v>Каминский Н.В.</v>
      </c>
      <c r="C15" s="31">
        <f>'На неделю'!B58</f>
        <v>0</v>
      </c>
      <c r="D15" s="31">
        <f>'На неделю'!C58</f>
        <v>0</v>
      </c>
      <c r="E15" s="31" t="str">
        <f>'На неделю'!D58</f>
        <v>Чевидаев/Столбицкий</v>
      </c>
      <c r="F15" s="31" t="str">
        <f>'На неделю'!E58</f>
        <v>"Учебный</v>
      </c>
      <c r="G15" s="31" t="str">
        <f>'На неделю'!F58</f>
        <v xml:space="preserve">Артеменко А.А. </v>
      </c>
      <c r="H15" s="31" t="str">
        <f>'На неделю'!G58</f>
        <v>Якшина О.А.</v>
      </c>
      <c r="I15" s="31" t="str">
        <f>'На неделю'!H58</f>
        <v>Гордиевич Е.И.</v>
      </c>
      <c r="J15" s="31" t="str">
        <f>'На неделю'!I58</f>
        <v xml:space="preserve">Ануфриева/Семенова </v>
      </c>
      <c r="K15" s="31" t="str">
        <f>'На неделю'!J58</f>
        <v>Осипова Н.А.</v>
      </c>
      <c r="L15" s="31" t="str">
        <f>'На неделю'!K58</f>
        <v>Буевич С.В.</v>
      </c>
      <c r="M15" s="31" t="str">
        <f>'На неделю'!L58</f>
        <v>Цыбульская Е.А.</v>
      </c>
      <c r="N15" s="31" t="str">
        <f>'На неделю'!M58</f>
        <v>Гончарова Ю.А.</v>
      </c>
      <c r="O15" s="31" t="str">
        <f>'На неделю'!N58</f>
        <v>Сушинская Н.В.</v>
      </c>
      <c r="P15" s="31" t="str">
        <f>'На неделю'!O58</f>
        <v>Гаврилкина Л.П.</v>
      </c>
      <c r="Q15" s="31" t="str">
        <f>'На неделю'!P58</f>
        <v>Страх В.М.</v>
      </c>
      <c r="R15" s="31" t="str">
        <f>'На неделю'!R58</f>
        <v>Черненкова И.А.</v>
      </c>
      <c r="S15" s="31">
        <f>'На неделю'!S58</f>
        <v>0</v>
      </c>
      <c r="T15" s="31" t="str">
        <f>'На неделю'!T58</f>
        <v>13.55 - 14.40     6 урок</v>
      </c>
      <c r="U15" s="31">
        <f>'На неделю'!U58</f>
        <v>0</v>
      </c>
      <c r="V15" s="52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 s="42"/>
      <c r="AQ15"/>
      <c r="AR15"/>
      <c r="AS15"/>
      <c r="AT15"/>
    </row>
    <row r="16" spans="1:47" s="28" customFormat="1" ht="99" thickTop="1" thickBot="1" x14ac:dyDescent="0.25">
      <c r="A16" s="34">
        <v>4</v>
      </c>
      <c r="B16" s="31" t="str">
        <f>'На неделю'!A60</f>
        <v>--------------------------------</v>
      </c>
      <c r="C16" s="31">
        <f>'На неделю'!B60</f>
        <v>0</v>
      </c>
      <c r="D16" s="31">
        <f>'На неделю'!C60</f>
        <v>0</v>
      </c>
      <c r="E16" s="31" t="str">
        <f>'На неделю'!D60</f>
        <v>--------------------------------</v>
      </c>
      <c r="F16" s="31">
        <f>'На неделю'!E60</f>
        <v>0</v>
      </c>
      <c r="G16" s="31" t="str">
        <f>'На неделю'!F60</f>
        <v>--------------------------------</v>
      </c>
      <c r="H16" s="31" t="str">
        <f>'На неделю'!G60</f>
        <v>--------------------------------</v>
      </c>
      <c r="I16" s="31" t="str">
        <f>'На неделю'!H60</f>
        <v>--------------------------------</v>
      </c>
      <c r="J16" s="31" t="str">
        <f>'На неделю'!I60</f>
        <v>--------------------------------</v>
      </c>
      <c r="K16" s="31" t="str">
        <f>'На неделю'!J60</f>
        <v>--------------------------------</v>
      </c>
      <c r="L16" s="31" t="str">
        <f>'На неделю'!K60</f>
        <v>--------------------------------</v>
      </c>
      <c r="M16" s="31" t="str">
        <f>'На неделю'!L60</f>
        <v>--------------------------------</v>
      </c>
      <c r="N16" s="31" t="str">
        <f>'На неделю'!M60</f>
        <v>--------------------------------</v>
      </c>
      <c r="O16" s="31" t="str">
        <f>'На неделю'!N60</f>
        <v>--------------------------------</v>
      </c>
      <c r="P16" s="31" t="str">
        <f>'На неделю'!O60</f>
        <v>--------------------------------</v>
      </c>
      <c r="Q16" s="31" t="str">
        <f>'На неделю'!P60</f>
        <v>--------------------------------</v>
      </c>
      <c r="R16" s="31" t="str">
        <f>'На неделю'!R60</f>
        <v>--------------------------------</v>
      </c>
      <c r="S16" s="31" t="str">
        <f>'На неделю'!S60</f>
        <v>--------------------------------</v>
      </c>
      <c r="T16" s="31" t="str">
        <f>'На неделю'!T60</f>
        <v xml:space="preserve">15.45 - 16.30     8 урок </v>
      </c>
      <c r="U16" s="31">
        <f>'На неделю'!U60</f>
        <v>0</v>
      </c>
      <c r="V16" s="5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42"/>
      <c r="AQ16"/>
      <c r="AR16"/>
      <c r="AS16"/>
      <c r="AT16"/>
    </row>
    <row r="17" spans="1:42" ht="13.5" thickTop="1" x14ac:dyDescent="0.2">
      <c r="A17" s="36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37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</row>
  </sheetData>
  <sheetProtection password="CF7A" sheet="1" objects="1" scenarios="1"/>
  <mergeCells count="7">
    <mergeCell ref="W14:AO14"/>
    <mergeCell ref="V2:AO2"/>
    <mergeCell ref="A7:U7"/>
    <mergeCell ref="V7:AO7"/>
    <mergeCell ref="A12:U12"/>
    <mergeCell ref="A2:U2"/>
    <mergeCell ref="V12:AP12"/>
  </mergeCells>
  <phoneticPr fontId="18" type="noConversion"/>
  <conditionalFormatting sqref="V1:IV2 A1:U6 V3:AO6 A7:AO11 V12:AP12 A12:U65536 W14:AO14">
    <cfRule type="cellIs" dxfId="83" priority="1" stopIfTrue="1" operator="equal">
      <formula>0</formula>
    </cfRule>
  </conditionalFormatting>
  <conditionalFormatting sqref="AP3:IV3">
    <cfRule type="cellIs" dxfId="82" priority="2" stopIfTrue="1" operator="equal">
      <formula>0</formula>
    </cfRule>
  </conditionalFormatting>
  <pageMargins left="0.75" right="0.75" top="1" bottom="1" header="0.5" footer="0.5"/>
  <pageSetup paperSize="9" scale="5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33916-0C0D-4EDA-8486-1BCA9B290729}">
  <sheetPr codeName="Лист3"/>
  <dimension ref="A1:AB38"/>
  <sheetViews>
    <sheetView showGridLines="0" view="pageBreakPreview" zoomScale="60" zoomScaleNormal="50" workbookViewId="0">
      <selection activeCell="Q3" sqref="Q3"/>
    </sheetView>
  </sheetViews>
  <sheetFormatPr defaultRowHeight="12.75" x14ac:dyDescent="0.2"/>
  <cols>
    <col min="1" max="20" width="10.28515625" customWidth="1"/>
    <col min="21" max="28" width="9.140625" customWidth="1"/>
  </cols>
  <sheetData>
    <row r="1" spans="1:28" ht="18" x14ac:dyDescent="0.25">
      <c r="A1" s="132" t="str">
        <f>'На неделю'!A1:E1</f>
        <v xml:space="preserve">Расписание занятий с 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</row>
    <row r="2" spans="1:28" ht="6.75" customHeight="1" x14ac:dyDescent="0.2"/>
    <row r="3" spans="1:28" s="13" customFormat="1" ht="21" customHeight="1" x14ac:dyDescent="0.25">
      <c r="A3" s="12" t="str">
        <f>'На неделю'!A2</f>
        <v>144</v>
      </c>
      <c r="B3" s="12" t="str">
        <f>'На неделю'!B2</f>
        <v>145</v>
      </c>
      <c r="C3" s="12" t="str">
        <f>'На неделю'!C2</f>
        <v>146</v>
      </c>
      <c r="D3" s="12" t="str">
        <f>'На неделю'!D2</f>
        <v>147</v>
      </c>
      <c r="E3" s="12" t="str">
        <f>'На неделю'!E2</f>
        <v>148</v>
      </c>
      <c r="F3" s="12" t="str">
        <f>'На неделю'!F2</f>
        <v>149</v>
      </c>
      <c r="G3" s="12" t="str">
        <f>'На неделю'!G2</f>
        <v>150</v>
      </c>
      <c r="H3" s="12" t="str">
        <f>'На неделю'!H2</f>
        <v>151</v>
      </c>
      <c r="I3" s="12" t="str">
        <f>'На неделю'!I2</f>
        <v>152</v>
      </c>
      <c r="J3" s="12" t="str">
        <f>'На неделю'!J2</f>
        <v>153</v>
      </c>
      <c r="K3" s="12" t="str">
        <f>'На неделю'!K2</f>
        <v>154</v>
      </c>
      <c r="L3" s="12" t="str">
        <f>'На неделю'!L2</f>
        <v>155</v>
      </c>
      <c r="M3" s="12" t="str">
        <f>'На неделю'!M2</f>
        <v>156</v>
      </c>
      <c r="N3" s="12" t="str">
        <f>'На неделю'!N2</f>
        <v>157</v>
      </c>
      <c r="O3" s="12" t="str">
        <f>'На неделю'!O2</f>
        <v>158</v>
      </c>
      <c r="P3" s="12" t="str">
        <f>'На неделю'!P2</f>
        <v>159</v>
      </c>
      <c r="Q3" s="12" t="str">
        <f>'На неделю'!R2</f>
        <v>161</v>
      </c>
      <c r="R3" s="12">
        <f>'На неделю'!S2</f>
        <v>0</v>
      </c>
      <c r="S3" s="12" t="str">
        <f>'На неделю'!T2</f>
        <v>РАСПИСАНИЕ ЗВОНКОВ</v>
      </c>
      <c r="T3" s="12">
        <f>'На неделю'!U2</f>
        <v>0</v>
      </c>
    </row>
    <row r="4" spans="1:28" s="14" customFormat="1" ht="21" customHeight="1" x14ac:dyDescent="0.25">
      <c r="A4" s="133" t="s">
        <v>0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</row>
    <row r="5" spans="1:28" s="15" customFormat="1" ht="21" customHeight="1" x14ac:dyDescent="0.2">
      <c r="A5" s="50"/>
      <c r="B5" s="50"/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47"/>
      <c r="V5" s="48"/>
      <c r="W5" s="48"/>
      <c r="X5" s="48"/>
      <c r="Y5" s="48"/>
      <c r="Z5" s="48"/>
      <c r="AA5" s="48"/>
      <c r="AB5" s="48"/>
    </row>
    <row r="6" spans="1:28" s="11" customFormat="1" ht="21" customHeight="1" x14ac:dyDescent="0.2">
      <c r="U6" s="49"/>
      <c r="V6"/>
      <c r="W6"/>
      <c r="X6"/>
      <c r="Y6"/>
      <c r="Z6"/>
      <c r="AA6"/>
      <c r="AB6"/>
    </row>
    <row r="7" spans="1:28" s="11" customFormat="1" ht="21" customHeight="1" x14ac:dyDescent="0.2">
      <c r="U7" s="49"/>
      <c r="V7"/>
      <c r="W7"/>
      <c r="X7"/>
      <c r="Y7"/>
      <c r="Z7"/>
      <c r="AA7"/>
      <c r="AB7"/>
    </row>
    <row r="8" spans="1:28" s="11" customFormat="1" ht="21" customHeight="1" x14ac:dyDescent="0.2">
      <c r="U8" s="49"/>
      <c r="V8"/>
      <c r="W8"/>
      <c r="X8"/>
      <c r="Y8"/>
      <c r="Z8"/>
      <c r="AA8"/>
      <c r="AB8"/>
    </row>
    <row r="9" spans="1:28" s="11" customFormat="1" ht="21" customHeight="1" x14ac:dyDescent="0.2">
      <c r="U9" s="49"/>
      <c r="V9"/>
      <c r="W9"/>
      <c r="X9"/>
      <c r="Y9"/>
      <c r="Z9"/>
      <c r="AA9"/>
      <c r="AB9"/>
    </row>
    <row r="10" spans="1:28" s="15" customFormat="1" ht="21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47"/>
      <c r="V10" s="48"/>
      <c r="W10" s="48"/>
      <c r="X10" s="48"/>
      <c r="Y10" s="48"/>
      <c r="Z10" s="48"/>
      <c r="AA10" s="48"/>
      <c r="AB10" s="48"/>
    </row>
    <row r="11" spans="1:28" s="14" customFormat="1" ht="21" customHeight="1" x14ac:dyDescent="0.25">
      <c r="A11" s="133" t="s">
        <v>1</v>
      </c>
      <c r="B11" s="133"/>
      <c r="C11" s="133"/>
      <c r="D11" s="133"/>
      <c r="E11" s="133"/>
      <c r="F11" s="133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33"/>
      <c r="S11" s="133"/>
      <c r="T11" s="133"/>
    </row>
    <row r="12" spans="1:28" s="15" customFormat="1" ht="21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47"/>
      <c r="V12" s="48"/>
      <c r="W12" s="48"/>
      <c r="X12" s="48"/>
      <c r="Y12" s="48"/>
      <c r="Z12" s="48"/>
      <c r="AA12" s="48"/>
      <c r="AB12" s="48"/>
    </row>
    <row r="13" spans="1:28" s="11" customFormat="1" ht="21" customHeight="1" x14ac:dyDescent="0.2">
      <c r="U13" s="49"/>
      <c r="V13"/>
      <c r="W13"/>
      <c r="X13"/>
      <c r="Y13"/>
      <c r="Z13"/>
      <c r="AA13"/>
      <c r="AB13"/>
    </row>
    <row r="14" spans="1:28" s="11" customFormat="1" ht="21" customHeight="1" x14ac:dyDescent="0.2">
      <c r="U14" s="49"/>
      <c r="V14"/>
      <c r="W14"/>
      <c r="X14"/>
      <c r="Y14"/>
      <c r="Z14"/>
      <c r="AA14"/>
      <c r="AB14"/>
    </row>
    <row r="15" spans="1:28" s="11" customFormat="1" ht="21" customHeight="1" x14ac:dyDescent="0.2">
      <c r="U15" s="49"/>
      <c r="V15"/>
      <c r="W15"/>
      <c r="X15"/>
      <c r="Y15"/>
      <c r="Z15"/>
      <c r="AA15"/>
      <c r="AB15"/>
    </row>
    <row r="16" spans="1:28" s="11" customFormat="1" ht="21" customHeight="1" x14ac:dyDescent="0.2">
      <c r="U16" s="49"/>
      <c r="V16"/>
      <c r="W16"/>
      <c r="X16"/>
      <c r="Y16"/>
      <c r="Z16"/>
      <c r="AA16"/>
      <c r="AB16"/>
    </row>
    <row r="17" spans="1:28" s="15" customFormat="1" ht="21" customHeight="1" x14ac:dyDescent="0.2">
      <c r="A17" s="50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47"/>
      <c r="V17" s="48"/>
      <c r="W17" s="48"/>
      <c r="X17" s="48"/>
      <c r="Y17" s="48"/>
      <c r="Z17" s="48"/>
      <c r="AA17" s="48"/>
      <c r="AB17" s="48"/>
    </row>
    <row r="18" spans="1:28" s="14" customFormat="1" ht="21" customHeight="1" x14ac:dyDescent="0.25">
      <c r="A18" s="133" t="s">
        <v>2</v>
      </c>
      <c r="B18" s="133"/>
      <c r="C18" s="133"/>
      <c r="D18" s="133"/>
      <c r="E18" s="133"/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</row>
    <row r="19" spans="1:28" s="15" customFormat="1" ht="21" customHeight="1" x14ac:dyDescent="0.2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47"/>
      <c r="V19" s="48"/>
      <c r="W19" s="48"/>
      <c r="X19" s="48"/>
      <c r="Y19" s="48"/>
      <c r="Z19" s="48"/>
      <c r="AA19" s="48"/>
      <c r="AB19" s="48"/>
    </row>
    <row r="20" spans="1:28" s="11" customFormat="1" ht="21" customHeight="1" x14ac:dyDescent="0.2">
      <c r="U20" s="49"/>
      <c r="V20"/>
      <c r="W20"/>
      <c r="X20"/>
      <c r="Y20"/>
      <c r="Z20"/>
      <c r="AA20"/>
      <c r="AB20"/>
    </row>
    <row r="21" spans="1:28" s="11" customFormat="1" ht="21" customHeight="1" x14ac:dyDescent="0.2">
      <c r="U21" s="49"/>
      <c r="V21"/>
      <c r="W21"/>
      <c r="X21"/>
      <c r="Y21"/>
      <c r="Z21"/>
      <c r="AA21"/>
      <c r="AB21"/>
    </row>
    <row r="22" spans="1:28" s="11" customFormat="1" ht="21" customHeight="1" x14ac:dyDescent="0.2">
      <c r="U22" s="49"/>
      <c r="V22"/>
      <c r="W22"/>
      <c r="X22"/>
      <c r="Y22"/>
      <c r="Z22"/>
      <c r="AA22"/>
      <c r="AB22"/>
    </row>
    <row r="23" spans="1:28" s="11" customFormat="1" ht="21" customHeight="1" x14ac:dyDescent="0.2">
      <c r="U23" s="49"/>
      <c r="V23"/>
      <c r="W23"/>
      <c r="X23"/>
      <c r="Y23"/>
      <c r="Z23"/>
      <c r="AA23"/>
      <c r="AB23"/>
    </row>
    <row r="24" spans="1:28" s="15" customFormat="1" ht="21" customHeight="1" x14ac:dyDescent="0.2">
      <c r="A24" s="50"/>
      <c r="B24" s="50"/>
      <c r="C24" s="50"/>
      <c r="D24" s="50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47"/>
      <c r="V24" s="48"/>
      <c r="W24" s="48"/>
      <c r="X24" s="48"/>
      <c r="Y24" s="48"/>
      <c r="Z24" s="48"/>
      <c r="AA24" s="48"/>
      <c r="AB24" s="48"/>
    </row>
    <row r="25" spans="1:28" s="14" customFormat="1" ht="21" customHeight="1" x14ac:dyDescent="0.25">
      <c r="A25" s="133" t="s">
        <v>3</v>
      </c>
      <c r="B25" s="133"/>
      <c r="C25" s="133"/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</row>
    <row r="26" spans="1:28" s="15" customFormat="1" ht="21" customHeight="1" x14ac:dyDescent="0.2">
      <c r="A26" s="50"/>
      <c r="B26" s="50"/>
      <c r="C26" s="50"/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47"/>
      <c r="V26" s="48"/>
      <c r="W26" s="48"/>
      <c r="X26" s="48"/>
      <c r="Y26" s="48"/>
      <c r="Z26" s="48"/>
      <c r="AA26" s="48"/>
      <c r="AB26" s="48"/>
    </row>
    <row r="27" spans="1:28" s="11" customFormat="1" ht="21" customHeight="1" x14ac:dyDescent="0.2">
      <c r="U27" s="49"/>
      <c r="V27"/>
      <c r="W27"/>
      <c r="X27"/>
      <c r="Y27"/>
      <c r="Z27"/>
      <c r="AA27"/>
      <c r="AB27"/>
    </row>
    <row r="28" spans="1:28" s="11" customFormat="1" ht="21" customHeight="1" x14ac:dyDescent="0.2">
      <c r="U28" s="49"/>
      <c r="V28"/>
      <c r="W28"/>
      <c r="X28"/>
      <c r="Y28"/>
      <c r="Z28"/>
      <c r="AA28"/>
      <c r="AB28"/>
    </row>
    <row r="29" spans="1:28" s="11" customFormat="1" ht="21" customHeight="1" x14ac:dyDescent="0.2">
      <c r="U29" s="49"/>
      <c r="V29"/>
      <c r="W29"/>
      <c r="X29"/>
      <c r="Y29"/>
      <c r="Z29"/>
      <c r="AA29"/>
      <c r="AB29"/>
    </row>
    <row r="30" spans="1:28" s="11" customFormat="1" ht="21" customHeight="1" x14ac:dyDescent="0.2">
      <c r="U30" s="49"/>
      <c r="V30"/>
      <c r="W30"/>
      <c r="X30"/>
      <c r="Y30"/>
      <c r="Z30"/>
      <c r="AA30"/>
      <c r="AB30"/>
    </row>
    <row r="31" spans="1:28" s="15" customFormat="1" ht="21" customHeight="1" x14ac:dyDescent="0.2">
      <c r="A31" s="50"/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47"/>
      <c r="V31" s="48"/>
      <c r="W31" s="48"/>
      <c r="X31" s="48"/>
      <c r="Y31" s="48"/>
      <c r="Z31" s="48"/>
      <c r="AA31" s="48"/>
      <c r="AB31" s="48"/>
    </row>
    <row r="32" spans="1:28" s="14" customFormat="1" ht="21" customHeight="1" x14ac:dyDescent="0.25">
      <c r="A32" s="133" t="s">
        <v>4</v>
      </c>
      <c r="B32" s="133"/>
      <c r="C32" s="133"/>
      <c r="D32" s="133"/>
      <c r="E32" s="133"/>
      <c r="F32" s="133"/>
      <c r="G32" s="133"/>
      <c r="H32" s="133"/>
      <c r="I32" s="133"/>
      <c r="J32" s="133"/>
      <c r="K32" s="133"/>
      <c r="L32" s="133"/>
      <c r="M32" s="133"/>
      <c r="N32" s="133"/>
      <c r="O32" s="133"/>
      <c r="P32" s="133"/>
      <c r="Q32" s="133"/>
      <c r="R32" s="133"/>
      <c r="S32" s="133"/>
      <c r="T32" s="133"/>
    </row>
    <row r="33" spans="1:28" s="15" customFormat="1" ht="21" customHeight="1" x14ac:dyDescent="0.2">
      <c r="A33" s="50"/>
      <c r="B33" s="50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47"/>
      <c r="V33" s="48"/>
      <c r="W33" s="48"/>
      <c r="X33" s="48"/>
      <c r="Y33" s="48"/>
      <c r="Z33" s="48"/>
      <c r="AA33" s="48"/>
      <c r="AB33" s="48"/>
    </row>
    <row r="34" spans="1:28" s="11" customFormat="1" ht="21" customHeight="1" x14ac:dyDescent="0.2">
      <c r="U34" s="49"/>
      <c r="V34"/>
      <c r="W34"/>
      <c r="X34"/>
      <c r="Y34"/>
      <c r="Z34"/>
      <c r="AA34"/>
      <c r="AB34"/>
    </row>
    <row r="35" spans="1:28" s="11" customFormat="1" ht="21" customHeight="1" x14ac:dyDescent="0.2">
      <c r="U35" s="49"/>
      <c r="V35"/>
      <c r="W35"/>
      <c r="X35"/>
      <c r="Y35"/>
      <c r="Z35"/>
      <c r="AA35"/>
      <c r="AB35"/>
    </row>
    <row r="36" spans="1:28" s="11" customFormat="1" ht="21" customHeight="1" x14ac:dyDescent="0.2">
      <c r="U36" s="49"/>
      <c r="V36"/>
      <c r="W36"/>
      <c r="X36"/>
      <c r="Y36"/>
      <c r="Z36"/>
      <c r="AA36"/>
      <c r="AB36"/>
    </row>
    <row r="37" spans="1:28" s="11" customFormat="1" ht="21" customHeight="1" x14ac:dyDescent="0.2">
      <c r="U37" s="49"/>
      <c r="V37"/>
      <c r="W37"/>
      <c r="X37"/>
      <c r="Y37"/>
      <c r="Z37"/>
      <c r="AA37"/>
      <c r="AB37"/>
    </row>
    <row r="38" spans="1:28" s="15" customFormat="1" ht="21" customHeight="1" x14ac:dyDescent="0.2">
      <c r="A38" s="50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47"/>
      <c r="V38" s="48"/>
      <c r="W38" s="48"/>
      <c r="X38" s="48"/>
      <c r="Y38" s="48"/>
      <c r="Z38" s="48"/>
      <c r="AA38" s="48"/>
      <c r="AB38" s="48"/>
    </row>
  </sheetData>
  <sheetProtection password="CF7A" sheet="1" objects="1" scenarios="1"/>
  <mergeCells count="6">
    <mergeCell ref="A1:T1"/>
    <mergeCell ref="A32:T32"/>
    <mergeCell ref="A11:T11"/>
    <mergeCell ref="A18:T18"/>
    <mergeCell ref="A25:T25"/>
    <mergeCell ref="A4:T4"/>
  </mergeCells>
  <phoneticPr fontId="18" type="noConversion"/>
  <pageMargins left="0" right="0" top="0" bottom="0" header="0" footer="0"/>
  <pageSetup paperSize="9" scale="71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05DF4-45A3-4197-ACBB-7803D6E88F0B}">
  <sheetPr codeName="Лист4"/>
  <dimension ref="A1:AX89"/>
  <sheetViews>
    <sheetView showGridLines="0" showZeros="0" view="pageBreakPreview" zoomScaleNormal="100" zoomScaleSheetLayoutView="100" workbookViewId="0">
      <pane ySplit="2" topLeftCell="A3" activePane="bottomLeft" state="frozen"/>
      <selection pane="bottomLeft" activeCell="B25" sqref="B25"/>
    </sheetView>
  </sheetViews>
  <sheetFormatPr defaultRowHeight="12.75" x14ac:dyDescent="0.2"/>
  <cols>
    <col min="1" max="21" width="20.85546875" customWidth="1"/>
    <col min="22" max="35" width="7.7109375" style="100" customWidth="1"/>
    <col min="36" max="36" width="7.7109375" style="11" customWidth="1"/>
    <col min="37" max="39" width="7.7109375" style="108" customWidth="1"/>
    <col min="40" max="50" width="9.140625" customWidth="1"/>
  </cols>
  <sheetData>
    <row r="1" spans="1:50" s="5" customFormat="1" ht="21" customHeight="1" x14ac:dyDescent="0.3">
      <c r="A1" s="145" t="s">
        <v>8</v>
      </c>
      <c r="B1" s="145"/>
      <c r="C1" s="145"/>
      <c r="D1" s="64">
        <v>46266</v>
      </c>
      <c r="E1" s="80" t="s">
        <v>149</v>
      </c>
      <c r="F1" s="145" t="str">
        <f>A1</f>
        <v xml:space="preserve">Расписание занятий с </v>
      </c>
      <c r="G1" s="145"/>
      <c r="H1" s="145"/>
      <c r="I1" s="61">
        <f>D1</f>
        <v>46266</v>
      </c>
      <c r="J1" s="62" t="str">
        <f>E1</f>
        <v>по 04.09.2026</v>
      </c>
      <c r="K1" s="145" t="str">
        <f>F1</f>
        <v xml:space="preserve">Расписание занятий с </v>
      </c>
      <c r="L1" s="145"/>
      <c r="M1" s="145"/>
      <c r="N1" s="61">
        <f>I1</f>
        <v>46266</v>
      </c>
      <c r="O1" s="62"/>
      <c r="P1" s="145" t="str">
        <f>K1</f>
        <v xml:space="preserve">Расписание занятий с </v>
      </c>
      <c r="Q1" s="145"/>
      <c r="R1" s="145"/>
      <c r="S1" s="145"/>
      <c r="T1" s="68">
        <f>N1</f>
        <v>46266</v>
      </c>
      <c r="U1" s="62">
        <f>O1</f>
        <v>0</v>
      </c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6"/>
      <c r="AK1" s="104"/>
      <c r="AL1" s="104"/>
      <c r="AM1" s="104"/>
    </row>
    <row r="2" spans="1:50" s="3" customFormat="1" ht="18" x14ac:dyDescent="0.2">
      <c r="A2" s="65" t="s">
        <v>74</v>
      </c>
      <c r="B2" s="65" t="s">
        <v>75</v>
      </c>
      <c r="C2" s="65" t="s">
        <v>76</v>
      </c>
      <c r="D2" s="65" t="s">
        <v>77</v>
      </c>
      <c r="E2" s="65" t="s">
        <v>78</v>
      </c>
      <c r="F2" s="65" t="s">
        <v>79</v>
      </c>
      <c r="G2" s="65" t="s">
        <v>89</v>
      </c>
      <c r="H2" s="65" t="s">
        <v>90</v>
      </c>
      <c r="I2" s="65" t="s">
        <v>91</v>
      </c>
      <c r="J2" s="65" t="s">
        <v>92</v>
      </c>
      <c r="K2" s="65" t="s">
        <v>93</v>
      </c>
      <c r="L2" s="65" t="s">
        <v>94</v>
      </c>
      <c r="M2" s="65" t="s">
        <v>144</v>
      </c>
      <c r="N2" s="65" t="s">
        <v>145</v>
      </c>
      <c r="O2" s="65" t="s">
        <v>146</v>
      </c>
      <c r="P2" s="65" t="s">
        <v>147</v>
      </c>
      <c r="Q2" s="65" t="s">
        <v>148</v>
      </c>
      <c r="R2" s="65" t="s">
        <v>150</v>
      </c>
      <c r="S2" s="65"/>
      <c r="T2" s="146" t="s">
        <v>60</v>
      </c>
      <c r="U2" s="147"/>
      <c r="V2" s="109" t="str">
        <f t="shared" ref="V2:AJ2" si="0">A2</f>
        <v>144</v>
      </c>
      <c r="W2" s="109" t="str">
        <f t="shared" si="0"/>
        <v>145</v>
      </c>
      <c r="X2" s="109" t="str">
        <f t="shared" si="0"/>
        <v>146</v>
      </c>
      <c r="Y2" s="109" t="str">
        <f t="shared" si="0"/>
        <v>147</v>
      </c>
      <c r="Z2" s="109" t="str">
        <f t="shared" si="0"/>
        <v>148</v>
      </c>
      <c r="AA2" s="109" t="str">
        <f t="shared" si="0"/>
        <v>149</v>
      </c>
      <c r="AB2" s="109" t="str">
        <f t="shared" si="0"/>
        <v>150</v>
      </c>
      <c r="AC2" s="109" t="str">
        <f t="shared" si="0"/>
        <v>151</v>
      </c>
      <c r="AD2" s="109" t="str">
        <f t="shared" si="0"/>
        <v>152</v>
      </c>
      <c r="AE2" s="109" t="str">
        <f t="shared" si="0"/>
        <v>153</v>
      </c>
      <c r="AF2" s="109" t="str">
        <f t="shared" si="0"/>
        <v>154</v>
      </c>
      <c r="AG2" s="109" t="str">
        <f t="shared" si="0"/>
        <v>155</v>
      </c>
      <c r="AH2" s="109" t="str">
        <f t="shared" si="0"/>
        <v>156</v>
      </c>
      <c r="AI2" s="109" t="str">
        <f t="shared" si="0"/>
        <v>157</v>
      </c>
      <c r="AJ2" s="109" t="str">
        <f t="shared" si="0"/>
        <v>158</v>
      </c>
      <c r="AK2" s="109" t="str">
        <f t="shared" ref="AK2:AM2" si="1">P2</f>
        <v>159</v>
      </c>
      <c r="AL2" s="109" t="str">
        <f t="shared" si="1"/>
        <v>160</v>
      </c>
      <c r="AM2" s="109" t="str">
        <f t="shared" si="1"/>
        <v>161</v>
      </c>
    </row>
    <row r="3" spans="1:50" s="1" customFormat="1" ht="13.5" customHeight="1" x14ac:dyDescent="0.2">
      <c r="A3" s="142" t="s">
        <v>0</v>
      </c>
      <c r="B3" s="143"/>
      <c r="C3" s="143"/>
      <c r="D3" s="143"/>
      <c r="E3" s="144"/>
      <c r="F3" s="142" t="s">
        <v>0</v>
      </c>
      <c r="G3" s="143"/>
      <c r="H3" s="143"/>
      <c r="I3" s="143"/>
      <c r="J3" s="144"/>
      <c r="K3" s="142" t="s">
        <v>0</v>
      </c>
      <c r="L3" s="143"/>
      <c r="M3" s="143"/>
      <c r="N3" s="143"/>
      <c r="O3" s="144"/>
      <c r="P3" s="142" t="s">
        <v>0</v>
      </c>
      <c r="Q3" s="143"/>
      <c r="R3" s="143"/>
      <c r="S3" s="143"/>
      <c r="T3" s="143"/>
      <c r="U3" s="144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8"/>
      <c r="AK3" s="105"/>
      <c r="AL3" s="105"/>
      <c r="AM3" s="105"/>
    </row>
    <row r="4" spans="1:50" s="76" customFormat="1" ht="15.75" x14ac:dyDescent="0.25">
      <c r="A4" s="79"/>
      <c r="B4" s="74"/>
      <c r="C4" s="74"/>
      <c r="D4" s="79"/>
      <c r="E4" s="74"/>
      <c r="F4" s="74"/>
      <c r="G4" s="74"/>
      <c r="H4" s="74"/>
      <c r="I4" s="74"/>
      <c r="J4" s="74"/>
      <c r="K4" s="115"/>
      <c r="L4" s="74"/>
      <c r="M4" s="79"/>
      <c r="N4" s="79"/>
      <c r="O4" s="79"/>
      <c r="P4" s="79"/>
      <c r="Q4" s="79"/>
      <c r="R4" s="79"/>
      <c r="S4" s="79"/>
      <c r="T4" s="134" t="s">
        <v>69</v>
      </c>
      <c r="U4" s="135"/>
      <c r="V4" s="110" t="str">
        <f t="shared" ref="V4:AJ5" si="2">RIGHT(A4,2)</f>
        <v/>
      </c>
      <c r="W4" s="110" t="str">
        <f t="shared" si="2"/>
        <v/>
      </c>
      <c r="X4" s="110" t="str">
        <f t="shared" si="2"/>
        <v/>
      </c>
      <c r="Y4" s="110" t="str">
        <f t="shared" si="2"/>
        <v/>
      </c>
      <c r="Z4" s="110" t="str">
        <f t="shared" si="2"/>
        <v/>
      </c>
      <c r="AA4" s="110" t="str">
        <f t="shared" si="2"/>
        <v/>
      </c>
      <c r="AB4" s="110" t="str">
        <f t="shared" si="2"/>
        <v/>
      </c>
      <c r="AC4" s="110" t="str">
        <f t="shared" si="2"/>
        <v/>
      </c>
      <c r="AD4" s="110" t="str">
        <f t="shared" si="2"/>
        <v/>
      </c>
      <c r="AE4" s="110" t="str">
        <f t="shared" si="2"/>
        <v/>
      </c>
      <c r="AF4" s="110" t="str">
        <f t="shared" si="2"/>
        <v/>
      </c>
      <c r="AG4" s="110" t="str">
        <f t="shared" si="2"/>
        <v/>
      </c>
      <c r="AH4" s="110" t="str">
        <f t="shared" si="2"/>
        <v/>
      </c>
      <c r="AI4" s="110" t="str">
        <f t="shared" si="2"/>
        <v/>
      </c>
      <c r="AJ4" s="110" t="str">
        <f t="shared" si="2"/>
        <v/>
      </c>
      <c r="AK4" s="110" t="str">
        <f t="shared" ref="AK4:AM66" si="3">RIGHT(P4,2)</f>
        <v/>
      </c>
      <c r="AL4" s="110" t="str">
        <f t="shared" si="3"/>
        <v/>
      </c>
      <c r="AM4" s="110" t="str">
        <f t="shared" si="3"/>
        <v/>
      </c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</row>
    <row r="5" spans="1:50" s="7" customFormat="1" ht="15.75" x14ac:dyDescent="0.25">
      <c r="A5" s="67"/>
      <c r="B5" s="66"/>
      <c r="C5" s="66"/>
      <c r="D5" s="66"/>
      <c r="E5" s="66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66"/>
      <c r="T5" s="134" t="s">
        <v>61</v>
      </c>
      <c r="U5" s="135"/>
      <c r="V5" s="110" t="str">
        <f t="shared" si="2"/>
        <v/>
      </c>
      <c r="W5" s="110" t="str">
        <f t="shared" si="2"/>
        <v/>
      </c>
      <c r="X5" s="110" t="str">
        <f t="shared" si="2"/>
        <v/>
      </c>
      <c r="Y5" s="110" t="str">
        <f t="shared" si="2"/>
        <v/>
      </c>
      <c r="Z5" s="110" t="str">
        <f t="shared" si="2"/>
        <v/>
      </c>
      <c r="AA5" s="110" t="str">
        <f t="shared" si="2"/>
        <v/>
      </c>
      <c r="AB5" s="110" t="str">
        <f t="shared" si="2"/>
        <v/>
      </c>
      <c r="AC5" s="110" t="str">
        <f t="shared" si="2"/>
        <v/>
      </c>
      <c r="AD5" s="110" t="str">
        <f t="shared" si="2"/>
        <v/>
      </c>
      <c r="AE5" s="110" t="str">
        <f t="shared" si="2"/>
        <v/>
      </c>
      <c r="AF5" s="110" t="str">
        <f t="shared" si="2"/>
        <v/>
      </c>
      <c r="AG5" s="110" t="str">
        <f t="shared" si="2"/>
        <v/>
      </c>
      <c r="AH5" s="110" t="str">
        <f t="shared" si="2"/>
        <v/>
      </c>
      <c r="AI5" s="110" t="str">
        <f t="shared" si="2"/>
        <v/>
      </c>
      <c r="AJ5" s="110" t="str">
        <f t="shared" si="2"/>
        <v/>
      </c>
      <c r="AK5" s="110" t="str">
        <f t="shared" si="3"/>
        <v/>
      </c>
      <c r="AL5" s="110" t="str">
        <f t="shared" si="3"/>
        <v/>
      </c>
      <c r="AM5" s="110" t="str">
        <f t="shared" si="3"/>
        <v/>
      </c>
    </row>
    <row r="6" spans="1:50" s="7" customFormat="1" ht="15.75" x14ac:dyDescent="0.25">
      <c r="A6" s="66"/>
      <c r="B6" s="67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134" t="s">
        <v>62</v>
      </c>
      <c r="U6" s="135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110"/>
      <c r="AG6" s="110"/>
      <c r="AH6" s="110"/>
      <c r="AI6" s="110"/>
      <c r="AJ6" s="110"/>
      <c r="AK6" s="110"/>
      <c r="AL6" s="110"/>
      <c r="AM6" s="110"/>
    </row>
    <row r="7" spans="1:50" s="7" customFormat="1" ht="15.75" x14ac:dyDescent="0.25">
      <c r="A7" s="66"/>
      <c r="B7" s="66"/>
      <c r="C7" s="66"/>
      <c r="D7" s="66"/>
      <c r="E7" s="66"/>
      <c r="F7" s="111"/>
      <c r="G7" s="66"/>
      <c r="H7" s="111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134" t="s">
        <v>63</v>
      </c>
      <c r="U7" s="135"/>
      <c r="V7" s="110" t="str">
        <f t="shared" ref="V7:AB7" si="4">RIGHT(A7,2)</f>
        <v/>
      </c>
      <c r="W7" s="110" t="str">
        <f t="shared" si="4"/>
        <v/>
      </c>
      <c r="X7" s="110" t="str">
        <f t="shared" si="4"/>
        <v/>
      </c>
      <c r="Y7" s="110" t="str">
        <f t="shared" si="4"/>
        <v/>
      </c>
      <c r="Z7" s="110" t="str">
        <f t="shared" si="4"/>
        <v/>
      </c>
      <c r="AA7" s="110" t="str">
        <f t="shared" si="4"/>
        <v/>
      </c>
      <c r="AB7" s="110" t="str">
        <f t="shared" si="4"/>
        <v/>
      </c>
      <c r="AC7" s="110" t="e">
        <f>RIGHT(#REF!,2)</f>
        <v>#REF!</v>
      </c>
      <c r="AD7" s="110" t="str">
        <f t="shared" ref="AD7:AJ7" si="5">RIGHT(I7,2)</f>
        <v/>
      </c>
      <c r="AE7" s="110" t="str">
        <f t="shared" si="5"/>
        <v/>
      </c>
      <c r="AF7" s="110" t="str">
        <f t="shared" si="5"/>
        <v/>
      </c>
      <c r="AG7" s="110" t="str">
        <f t="shared" si="5"/>
        <v/>
      </c>
      <c r="AH7" s="110" t="str">
        <f t="shared" si="5"/>
        <v/>
      </c>
      <c r="AI7" s="110" t="str">
        <f t="shared" si="5"/>
        <v/>
      </c>
      <c r="AJ7" s="110" t="str">
        <f t="shared" si="5"/>
        <v/>
      </c>
      <c r="AK7" s="110" t="str">
        <f t="shared" si="3"/>
        <v/>
      </c>
      <c r="AL7" s="110" t="str">
        <f t="shared" si="3"/>
        <v/>
      </c>
      <c r="AM7" s="110" t="str">
        <f t="shared" si="3"/>
        <v/>
      </c>
    </row>
    <row r="8" spans="1:50" s="7" customFormat="1" ht="15.75" x14ac:dyDescent="0.25">
      <c r="A8" s="67"/>
      <c r="B8" s="67"/>
      <c r="C8" s="67"/>
      <c r="D8" s="67"/>
      <c r="E8" s="67"/>
      <c r="F8" s="66"/>
      <c r="G8" s="67"/>
      <c r="H8" s="111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134" t="s">
        <v>64</v>
      </c>
      <c r="U8" s="135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</row>
    <row r="9" spans="1:50" s="7" customFormat="1" ht="15.75" x14ac:dyDescent="0.25">
      <c r="A9" s="66"/>
      <c r="B9" s="66"/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111"/>
      <c r="T9" s="134" t="s">
        <v>65</v>
      </c>
      <c r="U9" s="135"/>
      <c r="V9" s="110" t="str">
        <f t="shared" ref="V9:AJ9" si="6">RIGHT(A9,2)</f>
        <v/>
      </c>
      <c r="W9" s="110" t="str">
        <f t="shared" si="6"/>
        <v/>
      </c>
      <c r="X9" s="110" t="str">
        <f t="shared" si="6"/>
        <v/>
      </c>
      <c r="Y9" s="110" t="str">
        <f t="shared" si="6"/>
        <v/>
      </c>
      <c r="Z9" s="110" t="str">
        <f t="shared" si="6"/>
        <v/>
      </c>
      <c r="AA9" s="110" t="str">
        <f t="shared" si="6"/>
        <v/>
      </c>
      <c r="AB9" s="110" t="str">
        <f t="shared" si="6"/>
        <v/>
      </c>
      <c r="AC9" s="110" t="str">
        <f t="shared" si="6"/>
        <v/>
      </c>
      <c r="AD9" s="110" t="str">
        <f t="shared" si="6"/>
        <v/>
      </c>
      <c r="AE9" s="110" t="str">
        <f t="shared" si="6"/>
        <v/>
      </c>
      <c r="AF9" s="110" t="str">
        <f t="shared" si="6"/>
        <v/>
      </c>
      <c r="AG9" s="110" t="str">
        <f t="shared" si="6"/>
        <v/>
      </c>
      <c r="AH9" s="110" t="str">
        <f t="shared" si="6"/>
        <v/>
      </c>
      <c r="AI9" s="110" t="str">
        <f t="shared" si="6"/>
        <v/>
      </c>
      <c r="AJ9" s="110" t="str">
        <f t="shared" si="6"/>
        <v/>
      </c>
      <c r="AK9" s="110" t="str">
        <f t="shared" si="3"/>
        <v/>
      </c>
      <c r="AL9" s="110" t="str">
        <f t="shared" si="3"/>
        <v/>
      </c>
      <c r="AM9" s="110" t="str">
        <f t="shared" si="3"/>
        <v/>
      </c>
    </row>
    <row r="10" spans="1:50" s="7" customFormat="1" ht="15.75" x14ac:dyDescent="0.25">
      <c r="A10" s="67"/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134" t="s">
        <v>66</v>
      </c>
      <c r="U10" s="135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0"/>
      <c r="AG10" s="110"/>
      <c r="AH10" s="110"/>
      <c r="AI10" s="110"/>
      <c r="AJ10" s="110"/>
      <c r="AK10" s="110"/>
      <c r="AL10" s="110"/>
      <c r="AM10" s="110"/>
    </row>
    <row r="11" spans="1:50" s="7" customFormat="1" ht="15.75" x14ac:dyDescent="0.25">
      <c r="A11" s="66"/>
      <c r="B11" s="66"/>
      <c r="C11" s="66"/>
      <c r="D11" s="66"/>
      <c r="E11" s="66"/>
      <c r="F11" s="66"/>
      <c r="G11" s="111"/>
      <c r="H11" s="111"/>
      <c r="I11" s="111"/>
      <c r="J11" s="111"/>
      <c r="K11" s="67"/>
      <c r="L11" s="111"/>
      <c r="M11" s="111"/>
      <c r="N11" s="111"/>
      <c r="O11" s="111"/>
      <c r="P11" s="66"/>
      <c r="Q11" s="67"/>
      <c r="R11" s="67"/>
      <c r="S11" s="111"/>
      <c r="T11" s="134" t="s">
        <v>67</v>
      </c>
      <c r="U11" s="135"/>
      <c r="V11" s="110" t="e">
        <f>RIGHT(#REF!,2)</f>
        <v>#REF!</v>
      </c>
      <c r="W11" s="110" t="str">
        <f t="shared" ref="W11:AJ11" si="7">RIGHT(B11,2)</f>
        <v/>
      </c>
      <c r="X11" s="110" t="str">
        <f t="shared" si="7"/>
        <v/>
      </c>
      <c r="Y11" s="110" t="str">
        <f t="shared" si="7"/>
        <v/>
      </c>
      <c r="Z11" s="110" t="str">
        <f t="shared" si="7"/>
        <v/>
      </c>
      <c r="AA11" s="110" t="str">
        <f t="shared" si="7"/>
        <v/>
      </c>
      <c r="AB11" s="110" t="str">
        <f t="shared" si="7"/>
        <v/>
      </c>
      <c r="AC11" s="110" t="str">
        <f t="shared" si="7"/>
        <v/>
      </c>
      <c r="AD11" s="110" t="str">
        <f t="shared" si="7"/>
        <v/>
      </c>
      <c r="AE11" s="110" t="str">
        <f t="shared" si="7"/>
        <v/>
      </c>
      <c r="AF11" s="110" t="str">
        <f t="shared" si="7"/>
        <v/>
      </c>
      <c r="AG11" s="110" t="str">
        <f t="shared" si="7"/>
        <v/>
      </c>
      <c r="AH11" s="110" t="str">
        <f t="shared" si="7"/>
        <v/>
      </c>
      <c r="AI11" s="110" t="str">
        <f t="shared" si="7"/>
        <v/>
      </c>
      <c r="AJ11" s="110" t="str">
        <f t="shared" si="7"/>
        <v/>
      </c>
      <c r="AK11" s="110" t="str">
        <f t="shared" si="3"/>
        <v/>
      </c>
      <c r="AL11" s="110" t="str">
        <f t="shared" si="3"/>
        <v/>
      </c>
      <c r="AM11" s="110" t="str">
        <f t="shared" si="3"/>
        <v/>
      </c>
    </row>
    <row r="12" spans="1:50" s="7" customFormat="1" ht="15.75" x14ac:dyDescent="0.25">
      <c r="A12" s="67"/>
      <c r="B12" s="67"/>
      <c r="C12" s="67"/>
      <c r="D12" s="67"/>
      <c r="E12" s="67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67"/>
      <c r="Q12" s="67"/>
      <c r="R12" s="67"/>
      <c r="S12" s="67"/>
      <c r="T12" s="134" t="s">
        <v>68</v>
      </c>
      <c r="U12" s="135"/>
      <c r="V12" s="110"/>
      <c r="W12" s="110"/>
      <c r="X12" s="110"/>
      <c r="Y12" s="110"/>
      <c r="Z12" s="110"/>
      <c r="AA12" s="110"/>
      <c r="AB12" s="110"/>
      <c r="AC12" s="110"/>
      <c r="AD12" s="110"/>
      <c r="AE12" s="110"/>
      <c r="AF12" s="110"/>
      <c r="AG12" s="110"/>
      <c r="AH12" s="110"/>
      <c r="AI12" s="110"/>
      <c r="AJ12" s="110"/>
      <c r="AK12" s="110"/>
      <c r="AL12" s="110"/>
      <c r="AM12" s="110"/>
    </row>
    <row r="13" spans="1:50" s="76" customFormat="1" ht="15.75" x14ac:dyDescent="0.25"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139" t="s">
        <v>59</v>
      </c>
      <c r="T13" s="140"/>
      <c r="U13" s="141"/>
      <c r="V13" s="110" t="str">
        <f>RIGHT(A12,2)</f>
        <v/>
      </c>
      <c r="W13" s="110" t="str">
        <f t="shared" ref="W13:AJ13" si="8">RIGHT(B13,2)</f>
        <v/>
      </c>
      <c r="X13" s="110" t="str">
        <f t="shared" si="8"/>
        <v/>
      </c>
      <c r="Y13" s="110" t="str">
        <f t="shared" si="8"/>
        <v/>
      </c>
      <c r="Z13" s="110" t="str">
        <f t="shared" si="8"/>
        <v/>
      </c>
      <c r="AA13" s="110" t="str">
        <f t="shared" si="8"/>
        <v/>
      </c>
      <c r="AB13" s="110" t="str">
        <f t="shared" si="8"/>
        <v/>
      </c>
      <c r="AC13" s="110" t="str">
        <f t="shared" si="8"/>
        <v/>
      </c>
      <c r="AD13" s="110" t="str">
        <f t="shared" si="8"/>
        <v/>
      </c>
      <c r="AE13" s="110" t="str">
        <f t="shared" si="8"/>
        <v/>
      </c>
      <c r="AF13" s="110" t="str">
        <f t="shared" si="8"/>
        <v/>
      </c>
      <c r="AG13" s="110" t="str">
        <f t="shared" si="8"/>
        <v/>
      </c>
      <c r="AH13" s="110" t="str">
        <f t="shared" si="8"/>
        <v/>
      </c>
      <c r="AI13" s="110" t="str">
        <f t="shared" si="8"/>
        <v/>
      </c>
      <c r="AJ13" s="110" t="str">
        <f t="shared" si="8"/>
        <v/>
      </c>
      <c r="AK13" s="110" t="str">
        <f t="shared" si="3"/>
        <v/>
      </c>
      <c r="AL13" s="110" t="str">
        <f t="shared" si="3"/>
        <v/>
      </c>
      <c r="AM13" s="110" t="str">
        <f t="shared" si="3"/>
        <v/>
      </c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</row>
    <row r="14" spans="1:50" s="77" customFormat="1" ht="15.75" x14ac:dyDescent="0.25">
      <c r="A14" s="74"/>
      <c r="B14" s="73"/>
      <c r="C14" s="73"/>
      <c r="D14" s="74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136"/>
      <c r="T14" s="137"/>
      <c r="U14" s="138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</row>
    <row r="15" spans="1:50" s="1" customFormat="1" ht="13.5" customHeight="1" x14ac:dyDescent="0.25">
      <c r="A15" s="142" t="s">
        <v>1</v>
      </c>
      <c r="B15" s="143"/>
      <c r="C15" s="143"/>
      <c r="D15" s="143"/>
      <c r="E15" s="144"/>
      <c r="F15" s="142" t="s">
        <v>1</v>
      </c>
      <c r="G15" s="143"/>
      <c r="H15" s="143"/>
      <c r="I15" s="143"/>
      <c r="J15" s="144"/>
      <c r="K15" s="142" t="s">
        <v>1</v>
      </c>
      <c r="L15" s="143"/>
      <c r="M15" s="143"/>
      <c r="N15" s="143"/>
      <c r="O15" s="144"/>
      <c r="P15" s="142" t="s">
        <v>1</v>
      </c>
      <c r="Q15" s="143"/>
      <c r="R15" s="143"/>
      <c r="S15" s="143"/>
      <c r="T15" s="143"/>
      <c r="U15" s="144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</row>
    <row r="16" spans="1:50" s="76" customFormat="1" ht="15.75" x14ac:dyDescent="0.25">
      <c r="A16" s="74"/>
      <c r="B16" s="74"/>
      <c r="C16" s="74"/>
      <c r="D16" s="78"/>
      <c r="E16" s="74"/>
      <c r="F16" s="74"/>
      <c r="G16" s="74"/>
      <c r="H16" s="74"/>
      <c r="I16" s="74"/>
      <c r="J16" s="74"/>
      <c r="K16" s="78"/>
      <c r="L16" s="74"/>
      <c r="M16" s="78"/>
      <c r="N16" s="74"/>
      <c r="O16" s="78"/>
      <c r="P16" s="78"/>
      <c r="Q16" s="78"/>
      <c r="R16" s="78"/>
      <c r="S16" s="78"/>
      <c r="T16" s="158" t="s">
        <v>69</v>
      </c>
      <c r="U16" s="159"/>
      <c r="V16" s="117" t="str">
        <f t="shared" ref="V16:AJ17" si="9">RIGHT(A16,2)</f>
        <v/>
      </c>
      <c r="W16" s="117" t="str">
        <f t="shared" si="9"/>
        <v/>
      </c>
      <c r="X16" s="117" t="str">
        <f t="shared" si="9"/>
        <v/>
      </c>
      <c r="Y16" s="117" t="str">
        <f t="shared" si="9"/>
        <v/>
      </c>
      <c r="Z16" s="117" t="str">
        <f t="shared" si="9"/>
        <v/>
      </c>
      <c r="AA16" s="117" t="str">
        <f t="shared" si="9"/>
        <v/>
      </c>
      <c r="AB16" s="117" t="str">
        <f t="shared" si="9"/>
        <v/>
      </c>
      <c r="AC16" s="117" t="str">
        <f t="shared" si="9"/>
        <v/>
      </c>
      <c r="AD16" s="117" t="str">
        <f t="shared" si="9"/>
        <v/>
      </c>
      <c r="AE16" s="117" t="str">
        <f t="shared" si="9"/>
        <v/>
      </c>
      <c r="AF16" s="117" t="str">
        <f t="shared" si="9"/>
        <v/>
      </c>
      <c r="AG16" s="117" t="str">
        <f t="shared" si="9"/>
        <v/>
      </c>
      <c r="AH16" s="117" t="str">
        <f t="shared" si="9"/>
        <v/>
      </c>
      <c r="AI16" s="117" t="str">
        <f t="shared" si="9"/>
        <v/>
      </c>
      <c r="AJ16" s="117" t="str">
        <f t="shared" si="9"/>
        <v/>
      </c>
      <c r="AK16" s="117" t="str">
        <f t="shared" si="3"/>
        <v/>
      </c>
      <c r="AL16" s="117" t="str">
        <f t="shared" si="3"/>
        <v/>
      </c>
      <c r="AM16" s="117" t="str">
        <f t="shared" si="3"/>
        <v/>
      </c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</row>
    <row r="17" spans="1:50" s="119" customFormat="1" ht="12.75" customHeight="1" x14ac:dyDescent="0.25">
      <c r="A17" s="111" t="s">
        <v>152</v>
      </c>
      <c r="B17" s="111" t="s">
        <v>152</v>
      </c>
      <c r="C17" s="111" t="s">
        <v>152</v>
      </c>
      <c r="D17" s="111" t="s">
        <v>152</v>
      </c>
      <c r="E17" s="111" t="s">
        <v>152</v>
      </c>
      <c r="F17" s="111" t="s">
        <v>152</v>
      </c>
      <c r="G17" s="111" t="s">
        <v>152</v>
      </c>
      <c r="H17" s="111" t="s">
        <v>152</v>
      </c>
      <c r="I17" s="111" t="s">
        <v>152</v>
      </c>
      <c r="J17" s="111" t="s">
        <v>152</v>
      </c>
      <c r="K17" s="111" t="s">
        <v>152</v>
      </c>
      <c r="L17" s="111" t="s">
        <v>152</v>
      </c>
      <c r="M17" s="111" t="s">
        <v>152</v>
      </c>
      <c r="N17" s="111" t="s">
        <v>152</v>
      </c>
      <c r="O17" s="111" t="s">
        <v>152</v>
      </c>
      <c r="P17" s="111" t="s">
        <v>152</v>
      </c>
      <c r="Q17" s="111" t="s">
        <v>152</v>
      </c>
      <c r="R17" s="111" t="s">
        <v>152</v>
      </c>
      <c r="S17" s="111"/>
      <c r="T17" s="160" t="s">
        <v>61</v>
      </c>
      <c r="U17" s="160"/>
      <c r="V17" s="110" t="str">
        <f t="shared" si="9"/>
        <v>ка</v>
      </c>
      <c r="W17" s="110" t="str">
        <f t="shared" si="9"/>
        <v>ка</v>
      </c>
      <c r="X17" s="110" t="str">
        <f t="shared" si="9"/>
        <v>ка</v>
      </c>
      <c r="Y17" s="110" t="str">
        <f t="shared" si="9"/>
        <v>ка</v>
      </c>
      <c r="Z17" s="110" t="str">
        <f t="shared" si="9"/>
        <v>ка</v>
      </c>
      <c r="AA17" s="110" t="str">
        <f t="shared" si="9"/>
        <v>ка</v>
      </c>
      <c r="AB17" s="110" t="str">
        <f t="shared" si="9"/>
        <v>ка</v>
      </c>
      <c r="AC17" s="110" t="str">
        <f t="shared" si="9"/>
        <v>ка</v>
      </c>
      <c r="AD17" s="110" t="str">
        <f t="shared" si="9"/>
        <v>ка</v>
      </c>
      <c r="AE17" s="110" t="str">
        <f t="shared" si="9"/>
        <v>ка</v>
      </c>
      <c r="AF17" s="110" t="str">
        <f t="shared" si="9"/>
        <v>ка</v>
      </c>
      <c r="AG17" s="110" t="str">
        <f t="shared" si="9"/>
        <v>ка</v>
      </c>
      <c r="AH17" s="110" t="str">
        <f t="shared" si="9"/>
        <v>ка</v>
      </c>
      <c r="AI17" s="110" t="str">
        <f t="shared" si="9"/>
        <v>ка</v>
      </c>
      <c r="AJ17" s="110" t="str">
        <f t="shared" si="9"/>
        <v>ка</v>
      </c>
      <c r="AK17" s="110" t="str">
        <f t="shared" si="3"/>
        <v>ка</v>
      </c>
      <c r="AL17" s="110" t="str">
        <f t="shared" si="3"/>
        <v>ка</v>
      </c>
      <c r="AM17" s="110" t="str">
        <f t="shared" si="3"/>
        <v>ка</v>
      </c>
    </row>
    <row r="18" spans="1:50" s="8" customFormat="1" ht="15.75" x14ac:dyDescent="0.25">
      <c r="A18" s="67" t="s">
        <v>192</v>
      </c>
      <c r="B18" s="67" t="s">
        <v>187</v>
      </c>
      <c r="C18" s="67" t="s">
        <v>188</v>
      </c>
      <c r="D18" s="67" t="s">
        <v>189</v>
      </c>
      <c r="E18" s="67" t="s">
        <v>190</v>
      </c>
      <c r="F18" s="67" t="s">
        <v>191</v>
      </c>
      <c r="G18" s="124" t="s">
        <v>184</v>
      </c>
      <c r="H18" s="67" t="s">
        <v>183</v>
      </c>
      <c r="I18" s="67" t="s">
        <v>182</v>
      </c>
      <c r="J18" s="67" t="s">
        <v>181</v>
      </c>
      <c r="K18" s="67" t="s">
        <v>180</v>
      </c>
      <c r="L18" s="67" t="s">
        <v>179</v>
      </c>
      <c r="M18" s="67" t="s">
        <v>159</v>
      </c>
      <c r="N18" s="67" t="s">
        <v>172</v>
      </c>
      <c r="O18" s="67" t="s">
        <v>178</v>
      </c>
      <c r="P18" s="67" t="s">
        <v>173</v>
      </c>
      <c r="Q18" s="67" t="s">
        <v>174</v>
      </c>
      <c r="R18" s="67" t="s">
        <v>175</v>
      </c>
      <c r="S18" s="67"/>
      <c r="T18" s="161" t="s">
        <v>62</v>
      </c>
      <c r="U18" s="162"/>
      <c r="V18" s="118"/>
      <c r="W18" s="118"/>
      <c r="X18" s="118"/>
      <c r="Y18" s="118"/>
      <c r="Z18" s="118"/>
      <c r="AA18" s="118"/>
      <c r="AB18" s="118"/>
      <c r="AC18" s="118"/>
      <c r="AD18" s="118"/>
      <c r="AE18" s="118"/>
      <c r="AF18" s="118"/>
      <c r="AG18" s="118"/>
      <c r="AH18" s="118"/>
      <c r="AI18" s="118"/>
      <c r="AJ18" s="118"/>
      <c r="AK18" s="118"/>
      <c r="AL18" s="118"/>
      <c r="AM18" s="118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</row>
    <row r="19" spans="1:50" s="6" customFormat="1" ht="13.5" customHeight="1" x14ac:dyDescent="0.25">
      <c r="A19" s="66" t="s">
        <v>193</v>
      </c>
      <c r="B19" s="66" t="s">
        <v>169</v>
      </c>
      <c r="C19" s="66" t="s">
        <v>170</v>
      </c>
      <c r="D19" s="66" t="s">
        <v>194</v>
      </c>
      <c r="E19" s="66"/>
      <c r="F19" s="66"/>
      <c r="G19" s="66" t="s">
        <v>154</v>
      </c>
      <c r="H19" s="66" t="s">
        <v>155</v>
      </c>
      <c r="I19" s="66" t="s">
        <v>165</v>
      </c>
      <c r="J19" s="66" t="s">
        <v>166</v>
      </c>
      <c r="K19" s="66" t="s">
        <v>186</v>
      </c>
      <c r="L19" s="66" t="s">
        <v>167</v>
      </c>
      <c r="M19" s="66" t="s">
        <v>157</v>
      </c>
      <c r="N19" s="66" t="s">
        <v>158</v>
      </c>
      <c r="O19" s="66" t="s">
        <v>160</v>
      </c>
      <c r="P19" s="66" t="s">
        <v>161</v>
      </c>
      <c r="Q19" s="66" t="s">
        <v>163</v>
      </c>
      <c r="R19" s="66" t="s">
        <v>176</v>
      </c>
      <c r="S19" s="111"/>
      <c r="T19" s="134" t="s">
        <v>63</v>
      </c>
      <c r="U19" s="135"/>
      <c r="V19" s="110" t="str">
        <f t="shared" ref="V19:AJ19" si="10">RIGHT(A19,2)</f>
        <v>53</v>
      </c>
      <c r="W19" s="110" t="str">
        <f t="shared" si="10"/>
        <v>54</v>
      </c>
      <c r="X19" s="110" t="str">
        <f>RIGHT(C21,2)</f>
        <v>ьт</v>
      </c>
      <c r="Y19" s="110" t="str">
        <f t="shared" si="10"/>
        <v>14</v>
      </c>
      <c r="Z19" s="110" t="str">
        <f t="shared" si="10"/>
        <v/>
      </c>
      <c r="AA19" s="110" t="str">
        <f t="shared" si="10"/>
        <v/>
      </c>
      <c r="AB19" s="110" t="str">
        <f t="shared" si="10"/>
        <v>33</v>
      </c>
      <c r="AC19" s="110" t="str">
        <f t="shared" si="10"/>
        <v>12</v>
      </c>
      <c r="AD19" s="110" t="str">
        <f t="shared" si="10"/>
        <v>35</v>
      </c>
      <c r="AE19" s="110" t="str">
        <f t="shared" si="10"/>
        <v>11</v>
      </c>
      <c r="AF19" s="110" t="str">
        <f t="shared" si="10"/>
        <v>21</v>
      </c>
      <c r="AG19" s="110" t="str">
        <f t="shared" si="10"/>
        <v>24</v>
      </c>
      <c r="AH19" s="110" t="str">
        <f t="shared" si="10"/>
        <v>41</v>
      </c>
      <c r="AI19" s="110" t="str">
        <f t="shared" si="10"/>
        <v>25</v>
      </c>
      <c r="AJ19" s="110" t="str">
        <f t="shared" si="10"/>
        <v>34</v>
      </c>
      <c r="AK19" s="110" t="str">
        <f t="shared" si="3"/>
        <v>45</v>
      </c>
      <c r="AL19" s="110" t="str">
        <f t="shared" si="3"/>
        <v>44</v>
      </c>
      <c r="AM19" s="110" t="str">
        <f t="shared" si="3"/>
        <v xml:space="preserve">2 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</row>
    <row r="20" spans="1:50" s="8" customFormat="1" ht="15.75" x14ac:dyDescent="0.25">
      <c r="A20" s="67" t="s">
        <v>44</v>
      </c>
      <c r="B20" s="67" t="s">
        <v>80</v>
      </c>
      <c r="C20" s="67" t="s">
        <v>86</v>
      </c>
      <c r="D20" s="67" t="s">
        <v>198</v>
      </c>
      <c r="F20" s="67"/>
      <c r="G20" s="67" t="s">
        <v>82</v>
      </c>
      <c r="H20" s="67" t="s">
        <v>84</v>
      </c>
      <c r="I20" s="67" t="s">
        <v>43</v>
      </c>
      <c r="J20" s="67" t="s">
        <v>185</v>
      </c>
      <c r="K20" s="67" t="s">
        <v>88</v>
      </c>
      <c r="L20" s="67" t="s">
        <v>137</v>
      </c>
      <c r="M20" s="67" t="s">
        <v>113</v>
      </c>
      <c r="N20" s="67" t="s">
        <v>171</v>
      </c>
      <c r="O20" s="67" t="s">
        <v>45</v>
      </c>
      <c r="P20" s="67" t="s">
        <v>109</v>
      </c>
      <c r="Q20" s="67" t="s">
        <v>47</v>
      </c>
      <c r="R20" s="67" t="s">
        <v>83</v>
      </c>
      <c r="S20" s="67"/>
      <c r="T20" s="134" t="s">
        <v>64</v>
      </c>
      <c r="U20" s="135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</row>
    <row r="21" spans="1:50" s="6" customFormat="1" ht="15" customHeight="1" x14ac:dyDescent="0.25">
      <c r="A21" s="66" t="s">
        <v>169</v>
      </c>
      <c r="B21" s="66" t="s">
        <v>170</v>
      </c>
      <c r="C21" s="66" t="s">
        <v>199</v>
      </c>
      <c r="D21" s="66" t="s">
        <v>120</v>
      </c>
      <c r="E21" s="67" t="s">
        <v>5</v>
      </c>
      <c r="F21" s="67" t="s">
        <v>5</v>
      </c>
      <c r="G21" s="66" t="s">
        <v>196</v>
      </c>
      <c r="H21" s="66" t="s">
        <v>156</v>
      </c>
      <c r="I21" s="111" t="s">
        <v>195</v>
      </c>
      <c r="J21" s="66" t="s">
        <v>186</v>
      </c>
      <c r="K21" s="66" t="s">
        <v>154</v>
      </c>
      <c r="L21" s="66" t="s">
        <v>168</v>
      </c>
      <c r="M21" s="66" t="s">
        <v>158</v>
      </c>
      <c r="N21" s="66" t="s">
        <v>162</v>
      </c>
      <c r="O21" s="66" t="s">
        <v>161</v>
      </c>
      <c r="P21" s="66" t="s">
        <v>160</v>
      </c>
      <c r="Q21" s="66" t="s">
        <v>119</v>
      </c>
      <c r="R21" s="66" t="s">
        <v>164</v>
      </c>
      <c r="S21" s="66"/>
      <c r="T21" s="134" t="s">
        <v>65</v>
      </c>
      <c r="U21" s="135"/>
      <c r="V21" s="110" t="str">
        <f t="shared" ref="V21:AI21" si="11">RIGHT(A21,2)</f>
        <v>54</v>
      </c>
      <c r="W21" s="110" t="str">
        <f t="shared" si="11"/>
        <v>51</v>
      </c>
      <c r="X21" s="110" t="e">
        <f>RIGHT(#REF!,2)</f>
        <v>#REF!</v>
      </c>
      <c r="Y21" s="110" t="str">
        <f t="shared" si="11"/>
        <v>23</v>
      </c>
      <c r="Z21" s="110" t="e">
        <f>RIGHT(#REF!,2)</f>
        <v>#REF!</v>
      </c>
      <c r="AA21" s="110" t="str">
        <f t="shared" si="11"/>
        <v>/О</v>
      </c>
      <c r="AB21" s="110" t="str">
        <f t="shared" si="11"/>
        <v>Ц)</v>
      </c>
      <c r="AC21" s="110" t="str">
        <f t="shared" si="11"/>
        <v xml:space="preserve">3 </v>
      </c>
      <c r="AD21" s="110" t="str">
        <f t="shared" si="11"/>
        <v>.)</v>
      </c>
      <c r="AE21" s="110" t="str">
        <f t="shared" si="11"/>
        <v>21</v>
      </c>
      <c r="AF21" s="110" t="str">
        <f t="shared" si="11"/>
        <v>33</v>
      </c>
      <c r="AG21" s="110" t="str">
        <f t="shared" si="11"/>
        <v xml:space="preserve">4 </v>
      </c>
      <c r="AH21" s="110" t="str">
        <f t="shared" si="11"/>
        <v>25</v>
      </c>
      <c r="AI21" s="110" t="str">
        <f t="shared" si="11"/>
        <v>41</v>
      </c>
      <c r="AJ21" s="110" t="e">
        <f>RIGHT(#REF!,2)</f>
        <v>#REF!</v>
      </c>
      <c r="AK21" s="110" t="str">
        <f t="shared" si="3"/>
        <v>34</v>
      </c>
      <c r="AL21" s="110" t="str">
        <f t="shared" si="3"/>
        <v>22</v>
      </c>
      <c r="AM21" s="110" t="str">
        <f t="shared" si="3"/>
        <v>43</v>
      </c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</row>
    <row r="22" spans="1:50" s="8" customFormat="1" ht="15.75" x14ac:dyDescent="0.25">
      <c r="A22" s="67" t="s">
        <v>80</v>
      </c>
      <c r="B22" s="67" t="s">
        <v>86</v>
      </c>
      <c r="C22" s="67" t="s">
        <v>200</v>
      </c>
      <c r="D22" s="67" t="s">
        <v>46</v>
      </c>
      <c r="E22" s="67"/>
      <c r="F22" s="67"/>
      <c r="G22" s="111" t="s">
        <v>197</v>
      </c>
      <c r="H22" s="67" t="s">
        <v>44</v>
      </c>
      <c r="I22" s="66" t="s">
        <v>155</v>
      </c>
      <c r="J22" s="67" t="s">
        <v>88</v>
      </c>
      <c r="K22" s="67" t="s">
        <v>82</v>
      </c>
      <c r="L22" s="67" t="s">
        <v>47</v>
      </c>
      <c r="M22" s="67" t="s">
        <v>171</v>
      </c>
      <c r="N22" s="67" t="s">
        <v>113</v>
      </c>
      <c r="O22" s="67" t="s">
        <v>109</v>
      </c>
      <c r="P22" s="67" t="s">
        <v>45</v>
      </c>
      <c r="Q22" s="67" t="s">
        <v>48</v>
      </c>
      <c r="R22" s="67" t="s">
        <v>177</v>
      </c>
      <c r="S22" s="67"/>
      <c r="T22" s="134" t="s">
        <v>66</v>
      </c>
      <c r="U22" s="135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</row>
    <row r="23" spans="1:50" s="6" customFormat="1" ht="15.75" x14ac:dyDescent="0.25">
      <c r="A23" s="66"/>
      <c r="B23" s="66" t="s">
        <v>202</v>
      </c>
      <c r="C23" s="66" t="s">
        <v>193</v>
      </c>
      <c r="D23" s="66"/>
      <c r="E23" s="66"/>
      <c r="F23" s="111"/>
      <c r="G23" s="66"/>
      <c r="H23" s="66"/>
      <c r="I23" s="66"/>
      <c r="J23" s="66"/>
      <c r="K23" s="66"/>
      <c r="L23" s="66"/>
      <c r="M23" s="66"/>
      <c r="O23" s="111" t="s">
        <v>201</v>
      </c>
      <c r="P23" s="66"/>
      <c r="Q23" s="66"/>
      <c r="R23" s="66"/>
      <c r="S23" s="66"/>
      <c r="T23" s="134" t="s">
        <v>67</v>
      </c>
      <c r="U23" s="135"/>
      <c r="V23" s="110" t="str">
        <f t="shared" ref="V23:AJ23" si="12">RIGHT(A23,2)</f>
        <v/>
      </c>
      <c r="W23" s="110" t="str">
        <f t="shared" si="12"/>
        <v>20</v>
      </c>
      <c r="X23" s="110" t="str">
        <f>RIGHT(C23,2)</f>
        <v>53</v>
      </c>
      <c r="Y23" s="110" t="str">
        <f t="shared" si="12"/>
        <v/>
      </c>
      <c r="Z23" s="110" t="str">
        <f t="shared" si="12"/>
        <v/>
      </c>
      <c r="AA23" s="110" t="str">
        <f t="shared" si="12"/>
        <v/>
      </c>
      <c r="AB23" s="110" t="str">
        <f>RIGHT(G23,2)</f>
        <v/>
      </c>
      <c r="AC23" s="110" t="str">
        <f t="shared" si="12"/>
        <v/>
      </c>
      <c r="AD23" s="110" t="str">
        <f t="shared" si="12"/>
        <v/>
      </c>
      <c r="AE23" s="110" t="str">
        <f t="shared" si="12"/>
        <v/>
      </c>
      <c r="AF23" s="110" t="str">
        <f t="shared" si="12"/>
        <v/>
      </c>
      <c r="AG23" s="110" t="str">
        <f t="shared" si="12"/>
        <v/>
      </c>
      <c r="AH23" s="110" t="str">
        <f t="shared" si="12"/>
        <v/>
      </c>
      <c r="AI23" s="110" t="str">
        <f>RIGHT(O21,2)</f>
        <v>45</v>
      </c>
      <c r="AJ23" s="110" t="str">
        <f t="shared" si="12"/>
        <v>С)</v>
      </c>
      <c r="AK23" s="110" t="str">
        <f t="shared" si="3"/>
        <v/>
      </c>
      <c r="AL23" s="110" t="str">
        <f t="shared" si="3"/>
        <v/>
      </c>
      <c r="AM23" s="110" t="str">
        <f t="shared" si="3"/>
        <v/>
      </c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</row>
    <row r="24" spans="1:50" s="17" customFormat="1" ht="15.75" x14ac:dyDescent="0.25">
      <c r="A24" s="67"/>
      <c r="B24" s="67" t="s">
        <v>86</v>
      </c>
      <c r="C24" s="67" t="s">
        <v>44</v>
      </c>
      <c r="D24" s="67"/>
      <c r="E24" s="67"/>
      <c r="F24" s="111"/>
      <c r="G24" s="67"/>
      <c r="H24" s="111"/>
      <c r="I24" s="67"/>
      <c r="J24" s="67"/>
      <c r="K24" s="67"/>
      <c r="L24" s="67"/>
      <c r="M24" s="67"/>
      <c r="N24" s="119"/>
      <c r="O24" s="67"/>
      <c r="P24" s="111"/>
      <c r="Q24" s="67"/>
      <c r="R24" s="67"/>
      <c r="S24" s="67"/>
      <c r="T24" s="134" t="s">
        <v>68</v>
      </c>
      <c r="U24" s="135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</row>
    <row r="25" spans="1:50" s="76" customFormat="1" ht="15.75" x14ac:dyDescent="0.25">
      <c r="A25" s="74"/>
      <c r="B25" s="74"/>
      <c r="C25" s="74"/>
      <c r="D25" s="74"/>
      <c r="E25" s="78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139" t="s">
        <v>59</v>
      </c>
      <c r="T25" s="140"/>
      <c r="U25" s="141"/>
      <c r="V25" s="110" t="str">
        <f t="shared" ref="V25:AJ25" si="13">RIGHT(A25,2)</f>
        <v/>
      </c>
      <c r="W25" s="110" t="str">
        <f t="shared" si="13"/>
        <v/>
      </c>
      <c r="X25" s="110" t="str">
        <f t="shared" si="13"/>
        <v/>
      </c>
      <c r="Y25" s="110" t="str">
        <f t="shared" si="13"/>
        <v/>
      </c>
      <c r="Z25" s="110" t="str">
        <f t="shared" si="13"/>
        <v/>
      </c>
      <c r="AA25" s="110" t="str">
        <f t="shared" si="13"/>
        <v/>
      </c>
      <c r="AB25" s="110" t="str">
        <f>RIGHT(G25,2)</f>
        <v/>
      </c>
      <c r="AC25" s="110" t="str">
        <f t="shared" si="13"/>
        <v/>
      </c>
      <c r="AD25" s="110" t="str">
        <f t="shared" si="13"/>
        <v/>
      </c>
      <c r="AE25" s="110" t="str">
        <f t="shared" si="13"/>
        <v/>
      </c>
      <c r="AF25" s="110" t="str">
        <f t="shared" si="13"/>
        <v/>
      </c>
      <c r="AG25" s="110" t="str">
        <f t="shared" si="13"/>
        <v/>
      </c>
      <c r="AH25" s="110" t="str">
        <f t="shared" si="13"/>
        <v/>
      </c>
      <c r="AI25" s="110" t="str">
        <f t="shared" si="13"/>
        <v/>
      </c>
      <c r="AJ25" s="110" t="str">
        <f t="shared" si="13"/>
        <v/>
      </c>
      <c r="AK25" s="110" t="str">
        <f t="shared" si="3"/>
        <v/>
      </c>
      <c r="AL25" s="110" t="str">
        <f t="shared" si="3"/>
        <v/>
      </c>
      <c r="AM25" s="110" t="str">
        <f t="shared" si="3"/>
        <v/>
      </c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</row>
    <row r="26" spans="1:50" s="77" customFormat="1" ht="15.75" x14ac:dyDescent="0.25">
      <c r="A26" s="74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136"/>
      <c r="T26" s="137"/>
      <c r="U26" s="138"/>
      <c r="V26" s="110"/>
      <c r="W26" s="110"/>
      <c r="X26" s="110"/>
      <c r="Y26" s="110"/>
      <c r="Z26" s="110"/>
      <c r="AA26" s="110"/>
      <c r="AB26" s="110"/>
      <c r="AC26" s="110"/>
      <c r="AD26" s="110"/>
      <c r="AE26" s="110"/>
      <c r="AF26" s="110"/>
      <c r="AG26" s="110"/>
      <c r="AH26" s="110"/>
      <c r="AI26" s="110"/>
      <c r="AJ26" s="110"/>
      <c r="AK26" s="110"/>
      <c r="AL26" s="110"/>
      <c r="AM26" s="110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</row>
    <row r="27" spans="1:50" s="1" customFormat="1" ht="13.5" customHeight="1" x14ac:dyDescent="0.25">
      <c r="A27" s="142" t="s">
        <v>2</v>
      </c>
      <c r="B27" s="143"/>
      <c r="C27" s="143"/>
      <c r="D27" s="143"/>
      <c r="E27" s="144"/>
      <c r="F27" s="142" t="s">
        <v>2</v>
      </c>
      <c r="G27" s="143"/>
      <c r="H27" s="143"/>
      <c r="I27" s="143"/>
      <c r="J27" s="144"/>
      <c r="K27" s="142" t="s">
        <v>2</v>
      </c>
      <c r="L27" s="143"/>
      <c r="M27" s="143"/>
      <c r="N27" s="143"/>
      <c r="O27" s="144"/>
      <c r="P27" s="142" t="s">
        <v>2</v>
      </c>
      <c r="Q27" s="143"/>
      <c r="R27" s="143"/>
      <c r="S27" s="143"/>
      <c r="T27" s="143"/>
      <c r="U27" s="144"/>
      <c r="V27" s="110"/>
      <c r="W27" s="110"/>
      <c r="X27" s="110"/>
      <c r="Y27" s="110"/>
      <c r="Z27" s="110"/>
      <c r="AA27" s="110"/>
      <c r="AB27" s="110"/>
      <c r="AC27" s="110"/>
      <c r="AD27" s="110"/>
      <c r="AE27" s="110"/>
      <c r="AF27" s="110"/>
      <c r="AG27" s="110"/>
      <c r="AH27" s="110"/>
      <c r="AI27" s="110"/>
      <c r="AJ27" s="110"/>
      <c r="AK27" s="110"/>
      <c r="AL27" s="110"/>
      <c r="AM27" s="110"/>
    </row>
    <row r="28" spans="1:50" s="76" customFormat="1" ht="15.75" x14ac:dyDescent="0.25">
      <c r="A28" s="74"/>
      <c r="B28" s="74"/>
      <c r="C28" s="74"/>
      <c r="D28" s="79"/>
      <c r="E28" s="74"/>
      <c r="F28" s="74"/>
      <c r="G28" s="74"/>
      <c r="H28" s="74"/>
      <c r="I28" s="74"/>
      <c r="J28" s="79"/>
      <c r="K28" s="79"/>
      <c r="L28" s="74"/>
      <c r="M28" s="74"/>
      <c r="N28" s="79"/>
      <c r="O28" s="79"/>
      <c r="P28" s="79"/>
      <c r="Q28" s="79"/>
      <c r="R28" s="79"/>
      <c r="S28" s="79"/>
      <c r="T28" s="134" t="s">
        <v>69</v>
      </c>
      <c r="U28" s="135"/>
      <c r="V28" s="110" t="str">
        <f t="shared" ref="V28:AJ29" si="14">RIGHT(A28,2)</f>
        <v/>
      </c>
      <c r="W28" s="110" t="str">
        <f t="shared" si="14"/>
        <v/>
      </c>
      <c r="X28" s="110" t="str">
        <f t="shared" si="14"/>
        <v/>
      </c>
      <c r="Y28" s="110" t="str">
        <f t="shared" si="14"/>
        <v/>
      </c>
      <c r="Z28" s="110" t="str">
        <f t="shared" si="14"/>
        <v/>
      </c>
      <c r="AA28" s="110" t="str">
        <f t="shared" si="14"/>
        <v/>
      </c>
      <c r="AB28" s="110" t="str">
        <f t="shared" si="14"/>
        <v/>
      </c>
      <c r="AC28" s="110" t="str">
        <f t="shared" si="14"/>
        <v/>
      </c>
      <c r="AD28" s="110" t="str">
        <f t="shared" si="14"/>
        <v/>
      </c>
      <c r="AE28" s="110" t="str">
        <f t="shared" si="14"/>
        <v/>
      </c>
      <c r="AF28" s="110" t="str">
        <f t="shared" si="14"/>
        <v/>
      </c>
      <c r="AG28" s="110" t="str">
        <f t="shared" si="14"/>
        <v/>
      </c>
      <c r="AH28" s="110" t="str">
        <f t="shared" si="14"/>
        <v/>
      </c>
      <c r="AI28" s="110" t="str">
        <f t="shared" si="14"/>
        <v/>
      </c>
      <c r="AJ28" s="110" t="str">
        <f t="shared" si="14"/>
        <v/>
      </c>
      <c r="AK28" s="110" t="str">
        <f t="shared" si="3"/>
        <v/>
      </c>
      <c r="AL28" s="110" t="str">
        <f t="shared" si="3"/>
        <v/>
      </c>
      <c r="AM28" s="110" t="str">
        <f t="shared" si="3"/>
        <v/>
      </c>
      <c r="AN28" s="75"/>
      <c r="AO28" s="75"/>
      <c r="AP28" s="75"/>
      <c r="AQ28" s="75"/>
      <c r="AR28" s="75"/>
      <c r="AS28" s="75"/>
      <c r="AT28" s="75"/>
      <c r="AU28" s="75"/>
      <c r="AV28" s="75"/>
      <c r="AW28" s="75"/>
      <c r="AX28" s="75"/>
    </row>
    <row r="29" spans="1:50" s="6" customFormat="1" ht="15.75" x14ac:dyDescent="0.25">
      <c r="A29" s="66" t="s">
        <v>117</v>
      </c>
      <c r="B29" s="66"/>
      <c r="C29" s="66"/>
      <c r="D29" s="66" t="s">
        <v>119</v>
      </c>
      <c r="E29" s="66"/>
      <c r="F29" s="66" t="s">
        <v>111</v>
      </c>
      <c r="G29" s="66" t="s">
        <v>126</v>
      </c>
      <c r="H29" s="66" t="s">
        <v>100</v>
      </c>
      <c r="I29" s="111" t="s">
        <v>135</v>
      </c>
      <c r="J29" s="66" t="s">
        <v>103</v>
      </c>
      <c r="K29" s="66" t="s">
        <v>108</v>
      </c>
      <c r="L29" s="66" t="s">
        <v>138</v>
      </c>
      <c r="M29" s="66" t="s">
        <v>112</v>
      </c>
      <c r="N29" s="66" t="s">
        <v>105</v>
      </c>
      <c r="O29" s="66" t="s">
        <v>127</v>
      </c>
      <c r="P29" s="66" t="s">
        <v>110</v>
      </c>
      <c r="Q29" s="66" t="s">
        <v>101</v>
      </c>
      <c r="R29" s="66" t="s">
        <v>101</v>
      </c>
      <c r="S29" s="66"/>
      <c r="T29" s="134" t="s">
        <v>61</v>
      </c>
      <c r="U29" s="135"/>
      <c r="V29" s="110" t="str">
        <f t="shared" si="14"/>
        <v>43</v>
      </c>
      <c r="W29" s="110" t="str">
        <f t="shared" si="14"/>
        <v/>
      </c>
      <c r="X29" s="110" t="str">
        <f t="shared" si="14"/>
        <v/>
      </c>
      <c r="Y29" s="110" t="str">
        <f t="shared" si="14"/>
        <v>22</v>
      </c>
      <c r="Z29" s="110" t="str">
        <f t="shared" si="14"/>
        <v/>
      </c>
      <c r="AA29" s="110" t="str">
        <f t="shared" si="14"/>
        <v>2)</v>
      </c>
      <c r="AB29" s="110" t="str">
        <f t="shared" si="14"/>
        <v>0)</v>
      </c>
      <c r="AC29" s="110" t="str">
        <f t="shared" si="14"/>
        <v>1)</v>
      </c>
      <c r="AD29" s="110" t="str">
        <f t="shared" si="14"/>
        <v>Ч)</v>
      </c>
      <c r="AE29" s="110" t="str">
        <f t="shared" si="14"/>
        <v>4)</v>
      </c>
      <c r="AF29" s="110" t="str">
        <f t="shared" si="14"/>
        <v>9)</v>
      </c>
      <c r="AG29" s="110" t="str">
        <f t="shared" si="14"/>
        <v>1)</v>
      </c>
      <c r="AH29" s="110" t="str">
        <f t="shared" si="14"/>
        <v>8)</v>
      </c>
      <c r="AI29" s="110" t="str">
        <f t="shared" si="14"/>
        <v>5)</v>
      </c>
      <c r="AJ29" s="110" t="str">
        <f t="shared" si="14"/>
        <v>9)</v>
      </c>
      <c r="AK29" s="110" t="str">
        <f t="shared" si="3"/>
        <v>1)</v>
      </c>
      <c r="AL29" s="110" t="str">
        <f t="shared" si="3"/>
        <v>2)</v>
      </c>
      <c r="AM29" s="110" t="str">
        <f t="shared" si="3"/>
        <v>2)</v>
      </c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</row>
    <row r="30" spans="1:50" s="8" customFormat="1" ht="15.75" x14ac:dyDescent="0.25">
      <c r="A30" s="67" t="s">
        <v>85</v>
      </c>
      <c r="B30" s="67"/>
      <c r="C30" s="67"/>
      <c r="D30" s="67" t="s">
        <v>48</v>
      </c>
      <c r="E30" s="67"/>
      <c r="F30" s="67" t="s">
        <v>84</v>
      </c>
      <c r="G30" s="67" t="s">
        <v>86</v>
      </c>
      <c r="H30" s="67" t="s">
        <v>44</v>
      </c>
      <c r="I30" s="66" t="s">
        <v>103</v>
      </c>
      <c r="J30" s="111" t="s">
        <v>135</v>
      </c>
      <c r="K30" s="67" t="s">
        <v>109</v>
      </c>
      <c r="L30" s="67" t="s">
        <v>83</v>
      </c>
      <c r="M30" s="67" t="s">
        <v>47</v>
      </c>
      <c r="N30" s="67" t="s">
        <v>88</v>
      </c>
      <c r="O30" s="67" t="s">
        <v>128</v>
      </c>
      <c r="P30" s="67" t="s">
        <v>87</v>
      </c>
      <c r="Q30" s="67" t="s">
        <v>82</v>
      </c>
      <c r="R30" s="67" t="s">
        <v>82</v>
      </c>
      <c r="S30" s="67"/>
      <c r="T30" s="134" t="s">
        <v>62</v>
      </c>
      <c r="U30" s="135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10"/>
      <c r="AL30" s="110"/>
      <c r="AM30" s="110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</row>
    <row r="31" spans="1:50" s="6" customFormat="1" ht="15.75" x14ac:dyDescent="0.25">
      <c r="A31" s="66" t="s">
        <v>133</v>
      </c>
      <c r="B31" s="66"/>
      <c r="C31" s="66"/>
      <c r="D31" s="66" t="s">
        <v>119</v>
      </c>
      <c r="E31" s="66"/>
      <c r="F31" s="66" t="s">
        <v>126</v>
      </c>
      <c r="G31" s="66" t="s">
        <v>100</v>
      </c>
      <c r="H31" s="66" t="s">
        <v>111</v>
      </c>
      <c r="I31" s="66" t="s">
        <v>117</v>
      </c>
      <c r="J31" s="66" t="s">
        <v>105</v>
      </c>
      <c r="K31" s="111" t="s">
        <v>135</v>
      </c>
      <c r="L31" s="66" t="s">
        <v>139</v>
      </c>
      <c r="M31" s="66" t="s">
        <v>108</v>
      </c>
      <c r="N31" s="66" t="s">
        <v>98</v>
      </c>
      <c r="O31" s="111" t="s">
        <v>106</v>
      </c>
      <c r="P31" s="66" t="s">
        <v>123</v>
      </c>
      <c r="Q31" s="111" t="s">
        <v>110</v>
      </c>
      <c r="R31" s="111" t="s">
        <v>110</v>
      </c>
      <c r="S31" s="66"/>
      <c r="T31" s="134" t="s">
        <v>63</v>
      </c>
      <c r="U31" s="135"/>
      <c r="V31" s="110" t="str">
        <f t="shared" ref="V31:AJ31" si="15">RIGHT(A31,2)</f>
        <v>1)</v>
      </c>
      <c r="W31" s="110" t="str">
        <f t="shared" si="15"/>
        <v/>
      </c>
      <c r="X31" s="110" t="str">
        <f t="shared" si="15"/>
        <v/>
      </c>
      <c r="Y31" s="110" t="str">
        <f t="shared" si="15"/>
        <v>22</v>
      </c>
      <c r="Z31" s="110" t="str">
        <f t="shared" si="15"/>
        <v/>
      </c>
      <c r="AA31" s="110" t="str">
        <f t="shared" si="15"/>
        <v>0)</v>
      </c>
      <c r="AB31" s="110" t="str">
        <f t="shared" si="15"/>
        <v>1)</v>
      </c>
      <c r="AC31" s="110" t="str">
        <f t="shared" si="15"/>
        <v>2)</v>
      </c>
      <c r="AD31" s="110" t="str">
        <f t="shared" si="15"/>
        <v>43</v>
      </c>
      <c r="AE31" s="110" t="str">
        <f t="shared" si="15"/>
        <v>5)</v>
      </c>
      <c r="AF31" s="110" t="str">
        <f t="shared" si="15"/>
        <v>Ч)</v>
      </c>
      <c r="AG31" s="110" t="str">
        <f t="shared" si="15"/>
        <v>2)</v>
      </c>
      <c r="AH31" s="110" t="str">
        <f t="shared" si="15"/>
        <v>9)</v>
      </c>
      <c r="AI31" s="110" t="str">
        <f t="shared" si="15"/>
        <v>5)</v>
      </c>
      <c r="AJ31" s="110" t="str">
        <f t="shared" si="15"/>
        <v>3)</v>
      </c>
      <c r="AK31" s="110" t="str">
        <f t="shared" si="3"/>
        <v>4)</v>
      </c>
      <c r="AL31" s="110" t="str">
        <f t="shared" si="3"/>
        <v>1)</v>
      </c>
      <c r="AM31" s="110" t="str">
        <f t="shared" si="3"/>
        <v>1)</v>
      </c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</row>
    <row r="32" spans="1:50" s="8" customFormat="1" ht="15.75" x14ac:dyDescent="0.25">
      <c r="A32" s="67" t="s">
        <v>80</v>
      </c>
      <c r="B32" s="67" t="s">
        <v>81</v>
      </c>
      <c r="C32" s="67" t="s">
        <v>95</v>
      </c>
      <c r="D32" s="67" t="s">
        <v>48</v>
      </c>
      <c r="E32" s="67" t="s">
        <v>5</v>
      </c>
      <c r="F32" s="67" t="s">
        <v>86</v>
      </c>
      <c r="G32" s="67" t="s">
        <v>44</v>
      </c>
      <c r="H32" s="67" t="s">
        <v>84</v>
      </c>
      <c r="I32" s="67" t="s">
        <v>85</v>
      </c>
      <c r="J32" s="67" t="s">
        <v>88</v>
      </c>
      <c r="K32" s="66" t="s">
        <v>106</v>
      </c>
      <c r="L32" s="67" t="s">
        <v>82</v>
      </c>
      <c r="M32" s="67" t="s">
        <v>109</v>
      </c>
      <c r="N32" s="67" t="s">
        <v>113</v>
      </c>
      <c r="O32" s="111" t="s">
        <v>135</v>
      </c>
      <c r="P32" s="67" t="s">
        <v>43</v>
      </c>
      <c r="Q32" s="66" t="s">
        <v>107</v>
      </c>
      <c r="R32" s="66" t="s">
        <v>107</v>
      </c>
      <c r="S32" s="67"/>
      <c r="T32" s="134" t="s">
        <v>64</v>
      </c>
      <c r="U32" s="135"/>
      <c r="V32" s="110"/>
      <c r="W32" s="110"/>
      <c r="X32" s="110"/>
      <c r="Y32" s="110"/>
      <c r="Z32" s="110"/>
      <c r="AA32" s="110"/>
      <c r="AB32" s="110"/>
      <c r="AC32" s="110"/>
      <c r="AD32" s="110"/>
      <c r="AE32" s="110"/>
      <c r="AF32" s="110"/>
      <c r="AG32" s="110"/>
      <c r="AH32" s="110"/>
      <c r="AI32" s="110"/>
      <c r="AJ32" s="110"/>
      <c r="AK32" s="110"/>
      <c r="AL32" s="110"/>
      <c r="AM32" s="110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</row>
    <row r="33" spans="1:50" s="6" customFormat="1" ht="15.75" x14ac:dyDescent="0.25">
      <c r="A33" s="66" t="s">
        <v>134</v>
      </c>
      <c r="B33" s="66"/>
      <c r="C33" s="66"/>
      <c r="D33" s="66" t="s">
        <v>120</v>
      </c>
      <c r="E33" s="66" t="s">
        <v>136</v>
      </c>
      <c r="F33" s="66" t="s">
        <v>100</v>
      </c>
      <c r="G33" s="66" t="s">
        <v>98</v>
      </c>
      <c r="H33" s="66" t="s">
        <v>126</v>
      </c>
      <c r="I33" s="66" t="s">
        <v>131</v>
      </c>
      <c r="J33" s="66" t="s">
        <v>136</v>
      </c>
      <c r="K33" s="66" t="s">
        <v>101</v>
      </c>
      <c r="L33" s="66" t="s">
        <v>103</v>
      </c>
      <c r="M33" s="66" t="s">
        <v>138</v>
      </c>
      <c r="N33" s="66" t="s">
        <v>112</v>
      </c>
      <c r="O33" s="66" t="s">
        <v>110</v>
      </c>
      <c r="P33" s="111" t="s">
        <v>135</v>
      </c>
      <c r="Q33" s="66" t="s">
        <v>105</v>
      </c>
      <c r="R33" s="66" t="s">
        <v>105</v>
      </c>
      <c r="S33" s="66"/>
      <c r="T33" s="134" t="s">
        <v>65</v>
      </c>
      <c r="U33" s="135"/>
      <c r="V33" s="110" t="str">
        <f t="shared" ref="V33:AJ33" si="16">RIGHT(A33,2)</f>
        <v>1)</v>
      </c>
      <c r="W33" s="110" t="str">
        <f t="shared" si="16"/>
        <v/>
      </c>
      <c r="X33" s="110" t="str">
        <f t="shared" si="16"/>
        <v/>
      </c>
      <c r="Y33" s="110" t="str">
        <f t="shared" si="16"/>
        <v>23</v>
      </c>
      <c r="Z33" s="110" t="str">
        <f t="shared" si="16"/>
        <v>6)</v>
      </c>
      <c r="AA33" s="110" t="str">
        <f t="shared" si="16"/>
        <v>1)</v>
      </c>
      <c r="AB33" s="110" t="str">
        <f t="shared" si="16"/>
        <v>5)</v>
      </c>
      <c r="AC33" s="110" t="str">
        <f t="shared" si="16"/>
        <v>0)</v>
      </c>
      <c r="AD33" s="110" t="str">
        <f t="shared" si="16"/>
        <v>13</v>
      </c>
      <c r="AE33" s="110" t="str">
        <f t="shared" si="16"/>
        <v>6)</v>
      </c>
      <c r="AF33" s="110" t="str">
        <f t="shared" si="16"/>
        <v>2)</v>
      </c>
      <c r="AG33" s="110" t="str">
        <f t="shared" si="16"/>
        <v>4)</v>
      </c>
      <c r="AH33" s="110" t="str">
        <f t="shared" si="16"/>
        <v>1)</v>
      </c>
      <c r="AI33" s="110" t="str">
        <f t="shared" si="16"/>
        <v>8)</v>
      </c>
      <c r="AJ33" s="110" t="str">
        <f t="shared" si="16"/>
        <v>1)</v>
      </c>
      <c r="AK33" s="110" t="str">
        <f t="shared" si="3"/>
        <v>Ч)</v>
      </c>
      <c r="AL33" s="110" t="str">
        <f t="shared" si="3"/>
        <v>5)</v>
      </c>
      <c r="AM33" s="110" t="str">
        <f t="shared" si="3"/>
        <v>5)</v>
      </c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</row>
    <row r="34" spans="1:50" s="8" customFormat="1" ht="15.75" x14ac:dyDescent="0.25">
      <c r="A34" s="67" t="s">
        <v>80</v>
      </c>
      <c r="B34" s="67"/>
      <c r="C34" s="67"/>
      <c r="D34" s="67" t="s">
        <v>46</v>
      </c>
      <c r="E34" s="67" t="s">
        <v>137</v>
      </c>
      <c r="F34" s="67" t="s">
        <v>44</v>
      </c>
      <c r="G34" s="67" t="s">
        <v>113</v>
      </c>
      <c r="H34" s="67" t="s">
        <v>86</v>
      </c>
      <c r="I34" s="67" t="s">
        <v>132</v>
      </c>
      <c r="J34" s="67" t="s">
        <v>137</v>
      </c>
      <c r="K34" s="67" t="s">
        <v>82</v>
      </c>
      <c r="L34" s="67" t="s">
        <v>43</v>
      </c>
      <c r="M34" s="67" t="s">
        <v>83</v>
      </c>
      <c r="N34" s="67" t="s">
        <v>47</v>
      </c>
      <c r="O34" s="67" t="s">
        <v>87</v>
      </c>
      <c r="P34" s="66" t="s">
        <v>105</v>
      </c>
      <c r="Q34" s="111" t="s">
        <v>135</v>
      </c>
      <c r="R34" s="111" t="s">
        <v>135</v>
      </c>
      <c r="S34" s="67"/>
      <c r="T34" s="134" t="s">
        <v>66</v>
      </c>
      <c r="U34" s="135"/>
      <c r="V34" s="110"/>
      <c r="W34" s="110"/>
      <c r="X34" s="110"/>
      <c r="Y34" s="110"/>
      <c r="Z34" s="110"/>
      <c r="AA34" s="110"/>
      <c r="AB34" s="110"/>
      <c r="AC34" s="110"/>
      <c r="AD34" s="110"/>
      <c r="AE34" s="110"/>
      <c r="AF34" s="110"/>
      <c r="AG34" s="110"/>
      <c r="AH34" s="110"/>
      <c r="AI34" s="110"/>
      <c r="AJ34" s="110"/>
      <c r="AK34" s="110"/>
      <c r="AL34" s="110"/>
      <c r="AM34" s="110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</row>
    <row r="35" spans="1:50" s="6" customFormat="1" ht="15.75" x14ac:dyDescent="0.25">
      <c r="A35" s="66" t="s">
        <v>131</v>
      </c>
      <c r="B35" s="66"/>
      <c r="C35" s="66"/>
      <c r="D35" s="66" t="s">
        <v>120</v>
      </c>
      <c r="E35" s="66"/>
      <c r="F35" s="67" t="s">
        <v>22</v>
      </c>
      <c r="G35" s="67" t="s">
        <v>22</v>
      </c>
      <c r="H35" s="67" t="s">
        <v>22</v>
      </c>
      <c r="I35" s="67" t="s">
        <v>22</v>
      </c>
      <c r="J35" s="67" t="s">
        <v>22</v>
      </c>
      <c r="K35" s="66" t="s">
        <v>22</v>
      </c>
      <c r="L35" s="67" t="s">
        <v>22</v>
      </c>
      <c r="M35" s="66" t="s">
        <v>22</v>
      </c>
      <c r="N35" s="66" t="s">
        <v>22</v>
      </c>
      <c r="O35" s="66" t="s">
        <v>22</v>
      </c>
      <c r="P35" s="66" t="s">
        <v>22</v>
      </c>
      <c r="Q35" s="66" t="s">
        <v>22</v>
      </c>
      <c r="R35" s="66" t="s">
        <v>22</v>
      </c>
      <c r="S35" s="66"/>
      <c r="T35" s="134" t="s">
        <v>67</v>
      </c>
      <c r="U35" s="135"/>
      <c r="V35" s="110" t="str">
        <f t="shared" ref="V35:AJ35" si="17">RIGHT(A35,2)</f>
        <v>13</v>
      </c>
      <c r="W35" s="110" t="str">
        <f t="shared" si="17"/>
        <v/>
      </c>
      <c r="X35" s="110" t="str">
        <f t="shared" si="17"/>
        <v/>
      </c>
      <c r="Y35" s="110" t="str">
        <f t="shared" si="17"/>
        <v>23</v>
      </c>
      <c r="Z35" s="110" t="str">
        <f t="shared" si="17"/>
        <v/>
      </c>
      <c r="AA35" s="110" t="str">
        <f t="shared" si="17"/>
        <v>--</v>
      </c>
      <c r="AB35" s="110" t="str">
        <f t="shared" si="17"/>
        <v>--</v>
      </c>
      <c r="AC35" s="110" t="str">
        <f t="shared" si="17"/>
        <v>--</v>
      </c>
      <c r="AD35" s="110" t="str">
        <f t="shared" si="17"/>
        <v>--</v>
      </c>
      <c r="AE35" s="110" t="str">
        <f t="shared" si="17"/>
        <v>--</v>
      </c>
      <c r="AF35" s="110" t="str">
        <f t="shared" si="17"/>
        <v>--</v>
      </c>
      <c r="AG35" s="110" t="str">
        <f t="shared" si="17"/>
        <v>--</v>
      </c>
      <c r="AH35" s="110" t="str">
        <f t="shared" si="17"/>
        <v>--</v>
      </c>
      <c r="AI35" s="110" t="str">
        <f t="shared" si="17"/>
        <v>--</v>
      </c>
      <c r="AJ35" s="110" t="str">
        <f t="shared" si="17"/>
        <v>--</v>
      </c>
      <c r="AK35" s="110" t="str">
        <f t="shared" si="3"/>
        <v>--</v>
      </c>
      <c r="AL35" s="110" t="str">
        <f t="shared" si="3"/>
        <v>--</v>
      </c>
      <c r="AM35" s="110" t="str">
        <f t="shared" si="3"/>
        <v>--</v>
      </c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</row>
    <row r="36" spans="1:50" s="8" customFormat="1" ht="15.75" x14ac:dyDescent="0.25">
      <c r="A36" s="67" t="s">
        <v>132</v>
      </c>
      <c r="B36" s="67"/>
      <c r="C36" s="67"/>
      <c r="D36" s="67" t="s">
        <v>46</v>
      </c>
      <c r="E36" s="67"/>
      <c r="F36" s="67" t="s">
        <v>22</v>
      </c>
      <c r="G36" s="67" t="s">
        <v>22</v>
      </c>
      <c r="H36" s="67" t="s">
        <v>22</v>
      </c>
      <c r="I36" s="67" t="s">
        <v>22</v>
      </c>
      <c r="J36" s="67" t="s">
        <v>22</v>
      </c>
      <c r="K36" s="67" t="s">
        <v>22</v>
      </c>
      <c r="L36" s="67" t="s">
        <v>22</v>
      </c>
      <c r="M36" s="67" t="s">
        <v>22</v>
      </c>
      <c r="N36" s="67" t="s">
        <v>22</v>
      </c>
      <c r="O36" s="67" t="s">
        <v>22</v>
      </c>
      <c r="P36" s="67" t="s">
        <v>22</v>
      </c>
      <c r="Q36" s="67" t="s">
        <v>22</v>
      </c>
      <c r="R36" s="67" t="s">
        <v>22</v>
      </c>
      <c r="S36" s="67"/>
      <c r="T36" s="134" t="s">
        <v>68</v>
      </c>
      <c r="U36" s="135"/>
      <c r="V36" s="110"/>
      <c r="W36" s="110"/>
      <c r="X36" s="110"/>
      <c r="Y36" s="110"/>
      <c r="Z36" s="110"/>
      <c r="AA36" s="110"/>
      <c r="AB36" s="110"/>
      <c r="AC36" s="110"/>
      <c r="AD36" s="110"/>
      <c r="AE36" s="110"/>
      <c r="AF36" s="110"/>
      <c r="AG36" s="110"/>
      <c r="AH36" s="110"/>
      <c r="AI36" s="110"/>
      <c r="AJ36" s="110"/>
      <c r="AK36" s="110"/>
      <c r="AL36" s="110"/>
      <c r="AM36" s="110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</row>
    <row r="37" spans="1:50" s="76" customFormat="1" ht="12.75" customHeight="1" x14ac:dyDescent="0.25">
      <c r="A37" s="74"/>
      <c r="B37" s="74"/>
      <c r="C37" s="74"/>
      <c r="D37" s="74"/>
      <c r="E37" s="66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139" t="s">
        <v>59</v>
      </c>
      <c r="T37" s="140"/>
      <c r="U37" s="141"/>
      <c r="V37" s="110" t="str">
        <f t="shared" ref="V37:AJ37" si="18">RIGHT(A37,2)</f>
        <v/>
      </c>
      <c r="W37" s="110" t="str">
        <f t="shared" si="18"/>
        <v/>
      </c>
      <c r="X37" s="110" t="str">
        <f t="shared" si="18"/>
        <v/>
      </c>
      <c r="Y37" s="110" t="str">
        <f t="shared" si="18"/>
        <v/>
      </c>
      <c r="Z37" s="110" t="str">
        <f t="shared" si="18"/>
        <v/>
      </c>
      <c r="AA37" s="110" t="str">
        <f t="shared" si="18"/>
        <v/>
      </c>
      <c r="AB37" s="110" t="str">
        <f t="shared" si="18"/>
        <v/>
      </c>
      <c r="AC37" s="110" t="str">
        <f t="shared" si="18"/>
        <v/>
      </c>
      <c r="AD37" s="110" t="str">
        <f t="shared" si="18"/>
        <v/>
      </c>
      <c r="AE37" s="110" t="str">
        <f t="shared" si="18"/>
        <v/>
      </c>
      <c r="AF37" s="110" t="str">
        <f t="shared" si="18"/>
        <v/>
      </c>
      <c r="AG37" s="110" t="str">
        <f t="shared" si="18"/>
        <v/>
      </c>
      <c r="AH37" s="110" t="str">
        <f t="shared" si="18"/>
        <v/>
      </c>
      <c r="AI37" s="110" t="str">
        <f t="shared" si="18"/>
        <v/>
      </c>
      <c r="AJ37" s="110" t="str">
        <f t="shared" si="18"/>
        <v/>
      </c>
      <c r="AK37" s="110" t="str">
        <f t="shared" si="3"/>
        <v/>
      </c>
      <c r="AL37" s="110" t="str">
        <f t="shared" si="3"/>
        <v/>
      </c>
      <c r="AM37" s="110" t="str">
        <f t="shared" si="3"/>
        <v/>
      </c>
      <c r="AN37" s="75"/>
      <c r="AO37" s="75"/>
      <c r="AP37" s="75"/>
      <c r="AQ37" s="75"/>
      <c r="AR37" s="75"/>
      <c r="AS37" s="75"/>
      <c r="AT37" s="75"/>
      <c r="AU37" s="75"/>
      <c r="AV37" s="75"/>
      <c r="AW37" s="75"/>
      <c r="AX37" s="75"/>
    </row>
    <row r="38" spans="1:50" s="77" customFormat="1" ht="12" customHeight="1" x14ac:dyDescent="0.25">
      <c r="A38" s="73"/>
      <c r="B38" s="73"/>
      <c r="C38" s="73"/>
      <c r="D38" s="73"/>
      <c r="E38" s="67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3"/>
      <c r="R38" s="73"/>
      <c r="S38" s="136"/>
      <c r="T38" s="137"/>
      <c r="U38" s="138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</row>
    <row r="39" spans="1:50" s="1" customFormat="1" ht="13.5" customHeight="1" x14ac:dyDescent="0.25">
      <c r="A39" s="142" t="s">
        <v>3</v>
      </c>
      <c r="B39" s="143"/>
      <c r="C39" s="143"/>
      <c r="D39" s="143"/>
      <c r="E39" s="144"/>
      <c r="F39" s="142" t="s">
        <v>3</v>
      </c>
      <c r="G39" s="143"/>
      <c r="H39" s="143"/>
      <c r="I39" s="143"/>
      <c r="J39" s="144"/>
      <c r="K39" s="142" t="s">
        <v>3</v>
      </c>
      <c r="L39" s="143"/>
      <c r="M39" s="143"/>
      <c r="N39" s="143"/>
      <c r="O39" s="144"/>
      <c r="P39" s="142" t="s">
        <v>3</v>
      </c>
      <c r="Q39" s="143"/>
      <c r="R39" s="143"/>
      <c r="S39" s="143"/>
      <c r="T39" s="143"/>
      <c r="U39" s="144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  <c r="AH39" s="110"/>
      <c r="AI39" s="110"/>
      <c r="AJ39" s="110"/>
      <c r="AK39" s="110"/>
      <c r="AL39" s="110"/>
      <c r="AM39" s="110"/>
    </row>
    <row r="40" spans="1:50" s="76" customFormat="1" ht="15.75" x14ac:dyDescent="0.25">
      <c r="A40" s="74"/>
      <c r="B40" s="74"/>
      <c r="C40" s="74"/>
      <c r="D40" s="74"/>
      <c r="E40" s="74"/>
      <c r="F40" s="74"/>
      <c r="G40" s="74"/>
      <c r="H40" s="74"/>
      <c r="I40" s="79"/>
      <c r="J40" s="74"/>
      <c r="K40" s="74"/>
      <c r="L40" s="74"/>
      <c r="M40" s="74"/>
      <c r="N40" s="79"/>
      <c r="O40" s="79"/>
      <c r="P40" s="79"/>
      <c r="Q40" s="79"/>
      <c r="R40" s="79"/>
      <c r="S40" s="66"/>
      <c r="T40" s="134" t="s">
        <v>69</v>
      </c>
      <c r="U40" s="135"/>
      <c r="V40" s="110" t="str">
        <f t="shared" ref="V40:AJ41" si="19">RIGHT(A40,2)</f>
        <v/>
      </c>
      <c r="W40" s="110" t="str">
        <f t="shared" si="19"/>
        <v/>
      </c>
      <c r="X40" s="110" t="str">
        <f t="shared" si="19"/>
        <v/>
      </c>
      <c r="Y40" s="110" t="str">
        <f t="shared" si="19"/>
        <v/>
      </c>
      <c r="Z40" s="110" t="str">
        <f t="shared" si="19"/>
        <v/>
      </c>
      <c r="AA40" s="110" t="str">
        <f t="shared" si="19"/>
        <v/>
      </c>
      <c r="AB40" s="110" t="str">
        <f t="shared" si="19"/>
        <v/>
      </c>
      <c r="AC40" s="110" t="str">
        <f t="shared" si="19"/>
        <v/>
      </c>
      <c r="AD40" s="110" t="str">
        <f t="shared" si="19"/>
        <v/>
      </c>
      <c r="AE40" s="110" t="str">
        <f t="shared" si="19"/>
        <v/>
      </c>
      <c r="AF40" s="110" t="str">
        <f t="shared" si="19"/>
        <v/>
      </c>
      <c r="AG40" s="110" t="str">
        <f t="shared" si="19"/>
        <v/>
      </c>
      <c r="AH40" s="110" t="str">
        <f t="shared" si="19"/>
        <v/>
      </c>
      <c r="AI40" s="110" t="str">
        <f t="shared" si="19"/>
        <v/>
      </c>
      <c r="AJ40" s="110" t="str">
        <f t="shared" si="19"/>
        <v/>
      </c>
      <c r="AK40" s="110" t="str">
        <f t="shared" si="3"/>
        <v/>
      </c>
      <c r="AL40" s="110" t="str">
        <f t="shared" si="3"/>
        <v/>
      </c>
      <c r="AM40" s="110" t="str">
        <f t="shared" si="3"/>
        <v/>
      </c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</row>
    <row r="41" spans="1:50" s="6" customFormat="1" ht="15.75" x14ac:dyDescent="0.25">
      <c r="A41" s="66" t="s">
        <v>131</v>
      </c>
      <c r="B41" s="66"/>
      <c r="C41" s="66"/>
      <c r="D41" s="66" t="s">
        <v>120</v>
      </c>
      <c r="E41" s="66"/>
      <c r="F41" s="66" t="s">
        <v>133</v>
      </c>
      <c r="G41" s="66" t="s">
        <v>126</v>
      </c>
      <c r="H41" s="66" t="s">
        <v>100</v>
      </c>
      <c r="I41" s="66" t="s">
        <v>122</v>
      </c>
      <c r="J41" s="66" t="s">
        <v>107</v>
      </c>
      <c r="K41" s="66" t="s">
        <v>124</v>
      </c>
      <c r="L41" s="66" t="s">
        <v>112</v>
      </c>
      <c r="M41" s="66" t="s">
        <v>123</v>
      </c>
      <c r="N41" s="66" t="s">
        <v>139</v>
      </c>
      <c r="O41" s="66" t="s">
        <v>127</v>
      </c>
      <c r="P41" s="66" t="s">
        <v>129</v>
      </c>
      <c r="Q41" s="66" t="s">
        <v>110</v>
      </c>
      <c r="R41" s="66" t="s">
        <v>110</v>
      </c>
      <c r="S41" s="66"/>
      <c r="T41" s="134" t="s">
        <v>61</v>
      </c>
      <c r="U41" s="135"/>
      <c r="V41" s="110" t="str">
        <f t="shared" si="19"/>
        <v>13</v>
      </c>
      <c r="W41" s="110" t="str">
        <f t="shared" si="19"/>
        <v/>
      </c>
      <c r="X41" s="110" t="str">
        <f t="shared" si="19"/>
        <v/>
      </c>
      <c r="Y41" s="110" t="str">
        <f t="shared" si="19"/>
        <v>23</v>
      </c>
      <c r="Z41" s="110" t="str">
        <f t="shared" si="19"/>
        <v/>
      </c>
      <c r="AA41" s="110" t="str">
        <f t="shared" si="19"/>
        <v>1)</v>
      </c>
      <c r="AB41" s="110" t="str">
        <f t="shared" si="19"/>
        <v>0)</v>
      </c>
      <c r="AC41" s="110" t="str">
        <f t="shared" si="19"/>
        <v>1)</v>
      </c>
      <c r="AD41" s="110" t="str">
        <f t="shared" si="19"/>
        <v>3)</v>
      </c>
      <c r="AE41" s="110" t="str">
        <f t="shared" si="19"/>
        <v>1)</v>
      </c>
      <c r="AF41" s="110" t="str">
        <f t="shared" si="19"/>
        <v>9)</v>
      </c>
      <c r="AG41" s="110" t="str">
        <f t="shared" si="19"/>
        <v>8)</v>
      </c>
      <c r="AH41" s="110" t="str">
        <f t="shared" si="19"/>
        <v>4)</v>
      </c>
      <c r="AI41" s="110" t="str">
        <f t="shared" si="19"/>
        <v>2)</v>
      </c>
      <c r="AJ41" s="110" t="str">
        <f t="shared" si="19"/>
        <v>9)</v>
      </c>
      <c r="AK41" s="110" t="str">
        <f t="shared" si="3"/>
        <v>2)</v>
      </c>
      <c r="AL41" s="110" t="str">
        <f t="shared" si="3"/>
        <v>1)</v>
      </c>
      <c r="AM41" s="110" t="str">
        <f t="shared" si="3"/>
        <v>1)</v>
      </c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</row>
    <row r="42" spans="1:50" s="8" customFormat="1" ht="15.75" x14ac:dyDescent="0.25">
      <c r="A42" s="67" t="s">
        <v>132</v>
      </c>
      <c r="B42" s="67"/>
      <c r="C42" s="67"/>
      <c r="D42" s="67" t="s">
        <v>46</v>
      </c>
      <c r="E42" s="67"/>
      <c r="F42" s="67" t="s">
        <v>80</v>
      </c>
      <c r="G42" s="67" t="s">
        <v>86</v>
      </c>
      <c r="H42" s="67" t="s">
        <v>44</v>
      </c>
      <c r="I42" s="67" t="s">
        <v>45</v>
      </c>
      <c r="J42" s="67" t="s">
        <v>83</v>
      </c>
      <c r="K42" s="67" t="s">
        <v>109</v>
      </c>
      <c r="L42" s="67" t="s">
        <v>47</v>
      </c>
      <c r="M42" s="67" t="s">
        <v>43</v>
      </c>
      <c r="N42" s="67" t="s">
        <v>82</v>
      </c>
      <c r="O42" s="67" t="s">
        <v>128</v>
      </c>
      <c r="P42" s="67" t="s">
        <v>84</v>
      </c>
      <c r="Q42" s="67" t="s">
        <v>87</v>
      </c>
      <c r="R42" s="67" t="s">
        <v>87</v>
      </c>
      <c r="S42" s="67"/>
      <c r="T42" s="134" t="s">
        <v>62</v>
      </c>
      <c r="U42" s="135"/>
      <c r="V42" s="110"/>
      <c r="W42" s="110"/>
      <c r="X42" s="110"/>
      <c r="Y42" s="110"/>
      <c r="Z42" s="110"/>
      <c r="AA42" s="110"/>
      <c r="AB42" s="110"/>
      <c r="AC42" s="110"/>
      <c r="AD42" s="110"/>
      <c r="AE42" s="110"/>
      <c r="AF42" s="110"/>
      <c r="AG42" s="110"/>
      <c r="AH42" s="110"/>
      <c r="AI42" s="110"/>
      <c r="AJ42" s="110"/>
      <c r="AK42" s="110"/>
      <c r="AL42" s="110"/>
      <c r="AM42" s="110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</row>
    <row r="43" spans="1:50" s="6" customFormat="1" ht="15.75" x14ac:dyDescent="0.25">
      <c r="A43" s="66" t="s">
        <v>133</v>
      </c>
      <c r="B43" s="66"/>
      <c r="C43" s="66"/>
      <c r="D43" s="66" t="s">
        <v>120</v>
      </c>
      <c r="E43" s="66"/>
      <c r="F43" s="66" t="s">
        <v>100</v>
      </c>
      <c r="G43" s="66" t="s">
        <v>111</v>
      </c>
      <c r="H43" s="66" t="s">
        <v>126</v>
      </c>
      <c r="I43" s="66" t="s">
        <v>103</v>
      </c>
      <c r="J43" s="66" t="s">
        <v>131</v>
      </c>
      <c r="K43" s="66" t="s">
        <v>105</v>
      </c>
      <c r="L43" s="66" t="s">
        <v>110</v>
      </c>
      <c r="M43" s="111" t="s">
        <v>99</v>
      </c>
      <c r="N43" s="66" t="s">
        <v>106</v>
      </c>
      <c r="O43" s="66" t="s">
        <v>112</v>
      </c>
      <c r="P43" s="66" t="s">
        <v>108</v>
      </c>
      <c r="Q43" s="66" t="s">
        <v>139</v>
      </c>
      <c r="R43" s="66" t="s">
        <v>139</v>
      </c>
      <c r="S43" s="67"/>
      <c r="T43" s="134" t="s">
        <v>63</v>
      </c>
      <c r="U43" s="135"/>
      <c r="V43" s="110" t="str">
        <f t="shared" ref="V43:AJ43" si="20">RIGHT(A43,2)</f>
        <v>1)</v>
      </c>
      <c r="W43" s="110" t="str">
        <f t="shared" si="20"/>
        <v/>
      </c>
      <c r="X43" s="110" t="str">
        <f t="shared" si="20"/>
        <v/>
      </c>
      <c r="Y43" s="110" t="str">
        <f t="shared" si="20"/>
        <v>23</v>
      </c>
      <c r="Z43" s="110" t="str">
        <f t="shared" si="20"/>
        <v/>
      </c>
      <c r="AA43" s="110" t="str">
        <f t="shared" si="20"/>
        <v>1)</v>
      </c>
      <c r="AB43" s="110" t="str">
        <f t="shared" si="20"/>
        <v>2)</v>
      </c>
      <c r="AC43" s="110" t="str">
        <f t="shared" si="20"/>
        <v>0)</v>
      </c>
      <c r="AD43" s="110" t="str">
        <f t="shared" si="20"/>
        <v>4)</v>
      </c>
      <c r="AE43" s="110" t="str">
        <f t="shared" si="20"/>
        <v>13</v>
      </c>
      <c r="AF43" s="110" t="str">
        <f t="shared" si="20"/>
        <v>5)</v>
      </c>
      <c r="AG43" s="110" t="str">
        <f t="shared" si="20"/>
        <v>1)</v>
      </c>
      <c r="AH43" s="110" t="str">
        <f t="shared" si="20"/>
        <v>Ч)</v>
      </c>
      <c r="AI43" s="110" t="str">
        <f t="shared" si="20"/>
        <v>3)</v>
      </c>
      <c r="AJ43" s="110" t="str">
        <f t="shared" si="20"/>
        <v>8)</v>
      </c>
      <c r="AK43" s="110" t="str">
        <f t="shared" si="3"/>
        <v>9)</v>
      </c>
      <c r="AL43" s="110" t="str">
        <f t="shared" si="3"/>
        <v>2)</v>
      </c>
      <c r="AM43" s="110" t="str">
        <f t="shared" si="3"/>
        <v>2)</v>
      </c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</row>
    <row r="44" spans="1:50" s="8" customFormat="1" ht="15.75" x14ac:dyDescent="0.25">
      <c r="A44" s="67" t="s">
        <v>80</v>
      </c>
      <c r="B44" s="67" t="s">
        <v>81</v>
      </c>
      <c r="C44" s="67" t="s">
        <v>95</v>
      </c>
      <c r="D44" s="67" t="s">
        <v>46</v>
      </c>
      <c r="E44" s="67" t="s">
        <v>5</v>
      </c>
      <c r="F44" s="67" t="s">
        <v>44</v>
      </c>
      <c r="G44" s="67" t="s">
        <v>84</v>
      </c>
      <c r="H44" s="67" t="s">
        <v>86</v>
      </c>
      <c r="I44" s="67" t="s">
        <v>43</v>
      </c>
      <c r="J44" s="67" t="s">
        <v>132</v>
      </c>
      <c r="K44" s="67" t="s">
        <v>88</v>
      </c>
      <c r="L44" s="67" t="s">
        <v>87</v>
      </c>
      <c r="M44" s="66" t="s">
        <v>106</v>
      </c>
      <c r="N44" s="111" t="s">
        <v>99</v>
      </c>
      <c r="O44" s="67" t="s">
        <v>47</v>
      </c>
      <c r="P44" s="67" t="s">
        <v>109</v>
      </c>
      <c r="Q44" s="67" t="s">
        <v>82</v>
      </c>
      <c r="R44" s="67" t="s">
        <v>82</v>
      </c>
      <c r="S44" s="111"/>
      <c r="T44" s="134" t="s">
        <v>64</v>
      </c>
      <c r="U44" s="135"/>
      <c r="V44" s="110"/>
      <c r="W44" s="110"/>
      <c r="X44" s="110"/>
      <c r="Y44" s="110"/>
      <c r="Z44" s="110"/>
      <c r="AA44" s="110"/>
      <c r="AB44" s="110"/>
      <c r="AC44" s="110"/>
      <c r="AD44" s="110"/>
      <c r="AE44" s="110"/>
      <c r="AF44" s="110"/>
      <c r="AG44" s="110"/>
      <c r="AH44" s="110"/>
      <c r="AI44" s="110"/>
      <c r="AJ44" s="110"/>
      <c r="AK44" s="110"/>
      <c r="AL44" s="110"/>
      <c r="AM44" s="110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</row>
    <row r="45" spans="1:50" s="6" customFormat="1" ht="15.75" x14ac:dyDescent="0.25">
      <c r="A45" s="66" t="s">
        <v>117</v>
      </c>
      <c r="B45" s="66"/>
      <c r="C45" s="66"/>
      <c r="D45" s="66" t="s">
        <v>119</v>
      </c>
      <c r="E45" s="66" t="s">
        <v>116</v>
      </c>
      <c r="F45" s="66" t="s">
        <v>126</v>
      </c>
      <c r="G45" s="66" t="s">
        <v>100</v>
      </c>
      <c r="H45" s="67" t="s">
        <v>102</v>
      </c>
      <c r="I45" s="66" t="s">
        <v>140</v>
      </c>
      <c r="J45" s="66" t="s">
        <v>127</v>
      </c>
      <c r="K45" s="66" t="s">
        <v>108</v>
      </c>
      <c r="L45" s="111" t="s">
        <v>99</v>
      </c>
      <c r="M45" s="66" t="s">
        <v>110</v>
      </c>
      <c r="N45" s="66" t="s">
        <v>107</v>
      </c>
      <c r="O45" s="66" t="s">
        <v>105</v>
      </c>
      <c r="P45" s="66" t="s">
        <v>112</v>
      </c>
      <c r="Q45" s="66" t="s">
        <v>129</v>
      </c>
      <c r="R45" s="66" t="s">
        <v>129</v>
      </c>
      <c r="S45" s="66"/>
      <c r="T45" s="134" t="s">
        <v>65</v>
      </c>
      <c r="U45" s="135"/>
      <c r="V45" s="110" t="str">
        <f t="shared" ref="V45:AJ45" si="21">RIGHT(A45,2)</f>
        <v>43</v>
      </c>
      <c r="W45" s="110" t="str">
        <f t="shared" si="21"/>
        <v/>
      </c>
      <c r="X45" s="110" t="str">
        <f t="shared" si="21"/>
        <v/>
      </c>
      <c r="Y45" s="110" t="str">
        <f t="shared" si="21"/>
        <v>22</v>
      </c>
      <c r="Z45" s="110" t="str">
        <f t="shared" si="21"/>
        <v>ая</v>
      </c>
      <c r="AA45" s="110" t="str">
        <f t="shared" si="21"/>
        <v>0)</v>
      </c>
      <c r="AB45" s="110" t="str">
        <f t="shared" si="21"/>
        <v>1)</v>
      </c>
      <c r="AC45" s="110" t="str">
        <f t="shared" si="21"/>
        <v>3)</v>
      </c>
      <c r="AD45" s="110" t="str">
        <f t="shared" si="21"/>
        <v>6)</v>
      </c>
      <c r="AE45" s="110" t="str">
        <f t="shared" si="21"/>
        <v>9)</v>
      </c>
      <c r="AF45" s="110" t="str">
        <f t="shared" si="21"/>
        <v>9)</v>
      </c>
      <c r="AG45" s="110" t="str">
        <f t="shared" si="21"/>
        <v>Ч)</v>
      </c>
      <c r="AH45" s="110" t="str">
        <f t="shared" si="21"/>
        <v>1)</v>
      </c>
      <c r="AI45" s="110" t="str">
        <f t="shared" si="21"/>
        <v>1)</v>
      </c>
      <c r="AJ45" s="110" t="str">
        <f t="shared" si="21"/>
        <v>5)</v>
      </c>
      <c r="AK45" s="110" t="str">
        <f t="shared" si="3"/>
        <v>8)</v>
      </c>
      <c r="AL45" s="110" t="str">
        <f t="shared" si="3"/>
        <v>2)</v>
      </c>
      <c r="AM45" s="110" t="str">
        <f t="shared" si="3"/>
        <v>2)</v>
      </c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</row>
    <row r="46" spans="1:50" s="8" customFormat="1" ht="15.75" x14ac:dyDescent="0.25">
      <c r="A46" s="67" t="s">
        <v>85</v>
      </c>
      <c r="B46" s="67"/>
      <c r="C46" s="67"/>
      <c r="D46" s="67" t="s">
        <v>48</v>
      </c>
      <c r="E46" s="67" t="s">
        <v>96</v>
      </c>
      <c r="F46" s="67" t="s">
        <v>86</v>
      </c>
      <c r="G46" s="67" t="s">
        <v>44</v>
      </c>
      <c r="H46" s="66" t="s">
        <v>99</v>
      </c>
      <c r="I46" s="67" t="s">
        <v>104</v>
      </c>
      <c r="J46" s="67" t="s">
        <v>128</v>
      </c>
      <c r="K46" s="67" t="s">
        <v>109</v>
      </c>
      <c r="L46" s="67" t="s">
        <v>102</v>
      </c>
      <c r="M46" s="67" t="s">
        <v>87</v>
      </c>
      <c r="N46" s="67" t="s">
        <v>83</v>
      </c>
      <c r="O46" s="67" t="s">
        <v>88</v>
      </c>
      <c r="P46" s="67" t="s">
        <v>47</v>
      </c>
      <c r="Q46" s="67" t="s">
        <v>84</v>
      </c>
      <c r="R46" s="67" t="s">
        <v>84</v>
      </c>
      <c r="S46" s="67"/>
      <c r="T46" s="134" t="s">
        <v>66</v>
      </c>
      <c r="U46" s="135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  <c r="AH46" s="110"/>
      <c r="AI46" s="110"/>
      <c r="AJ46" s="110"/>
      <c r="AK46" s="110"/>
      <c r="AL46" s="110"/>
      <c r="AM46" s="110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</row>
    <row r="47" spans="1:50" s="6" customFormat="1" ht="15.75" x14ac:dyDescent="0.25">
      <c r="A47" s="66" t="s">
        <v>118</v>
      </c>
      <c r="B47" s="66"/>
      <c r="C47" s="66"/>
      <c r="D47" s="66" t="s">
        <v>119</v>
      </c>
      <c r="E47" s="66" t="s">
        <v>97</v>
      </c>
      <c r="F47" s="66" t="s">
        <v>103</v>
      </c>
      <c r="G47" s="111" t="s">
        <v>99</v>
      </c>
      <c r="H47" s="66" t="s">
        <v>105</v>
      </c>
      <c r="I47" s="111" t="s">
        <v>124</v>
      </c>
      <c r="J47" s="66" t="s">
        <v>117</v>
      </c>
      <c r="K47" s="66" t="s">
        <v>125</v>
      </c>
      <c r="L47" s="111" t="s">
        <v>139</v>
      </c>
      <c r="M47" s="111" t="s">
        <v>129</v>
      </c>
      <c r="N47" s="66" t="s">
        <v>110</v>
      </c>
      <c r="O47" s="66" t="s">
        <v>130</v>
      </c>
      <c r="P47" s="66" t="s">
        <v>127</v>
      </c>
      <c r="Q47" s="66" t="s">
        <v>122</v>
      </c>
      <c r="R47" s="66" t="s">
        <v>122</v>
      </c>
      <c r="S47" s="66"/>
      <c r="T47" s="134" t="s">
        <v>67</v>
      </c>
      <c r="U47" s="135"/>
      <c r="V47" s="110" t="str">
        <f t="shared" ref="V47:AJ47" si="22">RIGHT(A47,2)</f>
        <v>1)</v>
      </c>
      <c r="W47" s="110" t="str">
        <f t="shared" si="22"/>
        <v/>
      </c>
      <c r="X47" s="110" t="str">
        <f t="shared" si="22"/>
        <v/>
      </c>
      <c r="Y47" s="110" t="str">
        <f t="shared" si="22"/>
        <v>22</v>
      </c>
      <c r="Z47" s="110" t="str">
        <f t="shared" si="22"/>
        <v>н"</v>
      </c>
      <c r="AA47" s="110" t="str">
        <f t="shared" si="22"/>
        <v>4)</v>
      </c>
      <c r="AB47" s="110" t="str">
        <f t="shared" si="22"/>
        <v>Ч)</v>
      </c>
      <c r="AC47" s="110" t="str">
        <f t="shared" si="22"/>
        <v>5)</v>
      </c>
      <c r="AD47" s="110" t="str">
        <f t="shared" si="22"/>
        <v>9)</v>
      </c>
      <c r="AE47" s="110" t="str">
        <f t="shared" si="22"/>
        <v>43</v>
      </c>
      <c r="AF47" s="110" t="str">
        <f t="shared" si="22"/>
        <v>0)</v>
      </c>
      <c r="AG47" s="110" t="str">
        <f t="shared" si="22"/>
        <v>2)</v>
      </c>
      <c r="AH47" s="110" t="str">
        <f t="shared" si="22"/>
        <v>2)</v>
      </c>
      <c r="AI47" s="110" t="str">
        <f t="shared" si="22"/>
        <v>1)</v>
      </c>
      <c r="AJ47" s="110" t="str">
        <f t="shared" si="22"/>
        <v>8)</v>
      </c>
      <c r="AK47" s="110" t="str">
        <f t="shared" si="3"/>
        <v>9)</v>
      </c>
      <c r="AL47" s="110" t="str">
        <f t="shared" si="3"/>
        <v>3)</v>
      </c>
      <c r="AM47" s="110" t="str">
        <f t="shared" si="3"/>
        <v>3)</v>
      </c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</row>
    <row r="48" spans="1:50" s="8" customFormat="1" ht="15.75" x14ac:dyDescent="0.25">
      <c r="A48" s="67" t="s">
        <v>44</v>
      </c>
      <c r="B48" s="67"/>
      <c r="C48" s="67"/>
      <c r="D48" s="67" t="s">
        <v>48</v>
      </c>
      <c r="E48" s="67"/>
      <c r="F48" s="111" t="s">
        <v>99</v>
      </c>
      <c r="G48" s="111" t="s">
        <v>22</v>
      </c>
      <c r="H48" s="67" t="s">
        <v>88</v>
      </c>
      <c r="I48" s="111" t="s">
        <v>22</v>
      </c>
      <c r="J48" s="67" t="s">
        <v>85</v>
      </c>
      <c r="K48" s="67" t="s">
        <v>143</v>
      </c>
      <c r="L48" s="67" t="s">
        <v>22</v>
      </c>
      <c r="M48" s="67" t="s">
        <v>22</v>
      </c>
      <c r="N48" s="67" t="s">
        <v>87</v>
      </c>
      <c r="O48" s="67" t="s">
        <v>47</v>
      </c>
      <c r="P48" s="67" t="s">
        <v>128</v>
      </c>
      <c r="Q48" s="67" t="s">
        <v>45</v>
      </c>
      <c r="R48" s="67" t="s">
        <v>45</v>
      </c>
      <c r="S48" s="67"/>
      <c r="T48" s="134" t="s">
        <v>68</v>
      </c>
      <c r="U48" s="135"/>
      <c r="V48" s="110"/>
      <c r="W48" s="110"/>
      <c r="X48" s="110"/>
      <c r="Y48" s="110"/>
      <c r="Z48" s="110"/>
      <c r="AA48" s="110"/>
      <c r="AB48" s="110"/>
      <c r="AC48" s="110"/>
      <c r="AD48" s="110"/>
      <c r="AE48" s="110"/>
      <c r="AF48" s="110"/>
      <c r="AG48" s="110"/>
      <c r="AH48" s="110"/>
      <c r="AI48" s="110"/>
      <c r="AJ48" s="110"/>
      <c r="AK48" s="110"/>
      <c r="AL48" s="110"/>
      <c r="AM48" s="110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</row>
    <row r="49" spans="1:50" s="76" customFormat="1" ht="15.75" x14ac:dyDescent="0.25">
      <c r="A49" s="74"/>
      <c r="B49" s="74"/>
      <c r="C49" s="74"/>
      <c r="D49" s="74"/>
      <c r="E49" s="74"/>
      <c r="F49" s="74"/>
      <c r="G49" s="74"/>
      <c r="H49" s="74"/>
      <c r="I49" s="74"/>
      <c r="J49" s="74" t="s">
        <v>18</v>
      </c>
      <c r="K49" s="74"/>
      <c r="L49" s="74"/>
      <c r="M49" s="74"/>
      <c r="N49" s="74"/>
      <c r="O49" s="66"/>
      <c r="P49" s="74"/>
      <c r="Q49" s="74"/>
      <c r="R49" s="74"/>
      <c r="S49" s="139" t="s">
        <v>59</v>
      </c>
      <c r="T49" s="140"/>
      <c r="U49" s="141"/>
      <c r="V49" s="110" t="str">
        <f t="shared" ref="V49:AJ49" si="23">RIGHT(A49,2)</f>
        <v/>
      </c>
      <c r="W49" s="110" t="str">
        <f t="shared" si="23"/>
        <v/>
      </c>
      <c r="X49" s="110" t="str">
        <f t="shared" si="23"/>
        <v/>
      </c>
      <c r="Y49" s="110" t="str">
        <f t="shared" si="23"/>
        <v/>
      </c>
      <c r="Z49" s="110" t="str">
        <f t="shared" si="23"/>
        <v/>
      </c>
      <c r="AA49" s="110" t="str">
        <f t="shared" si="23"/>
        <v/>
      </c>
      <c r="AB49" s="110" t="str">
        <f t="shared" si="23"/>
        <v/>
      </c>
      <c r="AC49" s="110" t="str">
        <f t="shared" si="23"/>
        <v/>
      </c>
      <c r="AD49" s="110" t="str">
        <f t="shared" si="23"/>
        <v/>
      </c>
      <c r="AE49" s="110" t="str">
        <f t="shared" si="23"/>
        <v xml:space="preserve"> </v>
      </c>
      <c r="AF49" s="110" t="str">
        <f t="shared" si="23"/>
        <v/>
      </c>
      <c r="AG49" s="110" t="str">
        <f t="shared" si="23"/>
        <v/>
      </c>
      <c r="AH49" s="110" t="str">
        <f t="shared" si="23"/>
        <v/>
      </c>
      <c r="AI49" s="110" t="str">
        <f t="shared" si="23"/>
        <v/>
      </c>
      <c r="AJ49" s="110" t="str">
        <f t="shared" si="23"/>
        <v/>
      </c>
      <c r="AK49" s="110" t="str">
        <f t="shared" si="3"/>
        <v/>
      </c>
      <c r="AL49" s="110" t="str">
        <f t="shared" si="3"/>
        <v/>
      </c>
      <c r="AM49" s="110" t="str">
        <f t="shared" si="3"/>
        <v/>
      </c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</row>
    <row r="50" spans="1:50" s="77" customFormat="1" ht="15.75" x14ac:dyDescent="0.25">
      <c r="A50" s="73"/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67"/>
      <c r="P50" s="73"/>
      <c r="Q50" s="73"/>
      <c r="R50" s="73"/>
      <c r="S50" s="136"/>
      <c r="T50" s="137"/>
      <c r="U50" s="138"/>
      <c r="V50" s="110"/>
      <c r="W50" s="110"/>
      <c r="X50" s="110"/>
      <c r="Y50" s="110"/>
      <c r="Z50" s="110"/>
      <c r="AA50" s="110"/>
      <c r="AB50" s="110"/>
      <c r="AC50" s="110"/>
      <c r="AD50" s="110"/>
      <c r="AE50" s="110"/>
      <c r="AF50" s="110"/>
      <c r="AG50" s="110"/>
      <c r="AH50" s="110"/>
      <c r="AI50" s="110"/>
      <c r="AJ50" s="110"/>
      <c r="AK50" s="110"/>
      <c r="AL50" s="110"/>
      <c r="AM50" s="110"/>
      <c r="AN50" s="75"/>
      <c r="AO50" s="75"/>
      <c r="AP50" s="75"/>
      <c r="AQ50" s="75"/>
      <c r="AR50" s="75"/>
      <c r="AS50" s="75"/>
      <c r="AT50" s="75"/>
      <c r="AU50" s="75"/>
      <c r="AV50" s="75"/>
      <c r="AW50" s="75"/>
      <c r="AX50" s="75"/>
    </row>
    <row r="51" spans="1:50" s="1" customFormat="1" ht="13.5" customHeight="1" x14ac:dyDescent="0.25">
      <c r="A51" s="142" t="s">
        <v>4</v>
      </c>
      <c r="B51" s="143"/>
      <c r="C51" s="143"/>
      <c r="D51" s="143"/>
      <c r="E51" s="144"/>
      <c r="F51" s="142" t="s">
        <v>4</v>
      </c>
      <c r="G51" s="143"/>
      <c r="H51" s="143"/>
      <c r="I51" s="143"/>
      <c r="J51" s="144"/>
      <c r="K51" s="142" t="s">
        <v>4</v>
      </c>
      <c r="L51" s="143"/>
      <c r="M51" s="143"/>
      <c r="N51" s="143"/>
      <c r="O51" s="144"/>
      <c r="P51" s="142" t="s">
        <v>4</v>
      </c>
      <c r="Q51" s="143"/>
      <c r="R51" s="143"/>
      <c r="S51" s="143"/>
      <c r="T51" s="143"/>
      <c r="U51" s="144"/>
      <c r="V51" s="110"/>
      <c r="W51" s="110"/>
      <c r="X51" s="110"/>
      <c r="Y51" s="110"/>
      <c r="Z51" s="110"/>
      <c r="AA51" s="110"/>
      <c r="AB51" s="110"/>
      <c r="AC51" s="110"/>
      <c r="AD51" s="110"/>
      <c r="AE51" s="110"/>
      <c r="AF51" s="110"/>
      <c r="AG51" s="110"/>
      <c r="AH51" s="110"/>
      <c r="AI51" s="110"/>
      <c r="AJ51" s="110"/>
      <c r="AK51" s="110"/>
      <c r="AL51" s="110"/>
      <c r="AM51" s="110"/>
    </row>
    <row r="52" spans="1:50" s="76" customFormat="1" ht="15.75" x14ac:dyDescent="0.25">
      <c r="A52" s="111" t="s">
        <v>141</v>
      </c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9"/>
      <c r="P52" s="79"/>
      <c r="Q52" s="79"/>
      <c r="R52" s="79"/>
      <c r="S52" s="79"/>
      <c r="T52" s="134" t="s">
        <v>69</v>
      </c>
      <c r="U52" s="135"/>
      <c r="V52" s="110" t="str">
        <f t="shared" ref="V52:AJ53" si="24">RIGHT(A52,2)</f>
        <v>Ч)</v>
      </c>
      <c r="W52" s="110" t="str">
        <f t="shared" si="24"/>
        <v/>
      </c>
      <c r="X52" s="110" t="str">
        <f t="shared" si="24"/>
        <v/>
      </c>
      <c r="Y52" s="110" t="str">
        <f t="shared" si="24"/>
        <v/>
      </c>
      <c r="Z52" s="110" t="str">
        <f t="shared" si="24"/>
        <v/>
      </c>
      <c r="AA52" s="110" t="str">
        <f t="shared" si="24"/>
        <v/>
      </c>
      <c r="AB52" s="110" t="str">
        <f t="shared" si="24"/>
        <v/>
      </c>
      <c r="AC52" s="110" t="str">
        <f t="shared" si="24"/>
        <v/>
      </c>
      <c r="AD52" s="110" t="str">
        <f t="shared" si="24"/>
        <v/>
      </c>
      <c r="AE52" s="110" t="str">
        <f t="shared" si="24"/>
        <v/>
      </c>
      <c r="AF52" s="110" t="str">
        <f t="shared" si="24"/>
        <v/>
      </c>
      <c r="AG52" s="110" t="str">
        <f t="shared" si="24"/>
        <v/>
      </c>
      <c r="AH52" s="110" t="str">
        <f t="shared" si="24"/>
        <v/>
      </c>
      <c r="AI52" s="110" t="str">
        <f t="shared" si="24"/>
        <v/>
      </c>
      <c r="AJ52" s="110" t="str">
        <f t="shared" si="24"/>
        <v/>
      </c>
      <c r="AK52" s="110" t="str">
        <f t="shared" si="3"/>
        <v/>
      </c>
      <c r="AL52" s="110" t="str">
        <f t="shared" si="3"/>
        <v/>
      </c>
      <c r="AM52" s="110" t="str">
        <f t="shared" si="3"/>
        <v/>
      </c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</row>
    <row r="53" spans="1:50" s="6" customFormat="1" ht="15.75" x14ac:dyDescent="0.25">
      <c r="A53" s="66" t="s">
        <v>133</v>
      </c>
      <c r="B53" s="66"/>
      <c r="C53" s="66"/>
      <c r="D53" s="66" t="s">
        <v>120</v>
      </c>
      <c r="E53" s="66"/>
      <c r="F53" s="66" t="s">
        <v>100</v>
      </c>
      <c r="G53" s="66" t="s">
        <v>98</v>
      </c>
      <c r="H53" s="66" t="s">
        <v>101</v>
      </c>
      <c r="I53" s="66" t="s">
        <v>117</v>
      </c>
      <c r="J53" s="66" t="s">
        <v>108</v>
      </c>
      <c r="K53" s="111" t="s">
        <v>135</v>
      </c>
      <c r="L53" s="66" t="s">
        <v>138</v>
      </c>
      <c r="M53" s="66" t="s">
        <v>112</v>
      </c>
      <c r="N53" s="66" t="s">
        <v>129</v>
      </c>
      <c r="O53" s="66" t="s">
        <v>123</v>
      </c>
      <c r="P53" s="66" t="s">
        <v>110</v>
      </c>
      <c r="Q53" s="66" t="s">
        <v>142</v>
      </c>
      <c r="R53" s="66" t="s">
        <v>142</v>
      </c>
      <c r="S53" s="66"/>
      <c r="T53" s="134" t="s">
        <v>61</v>
      </c>
      <c r="U53" s="135"/>
      <c r="V53" s="110" t="str">
        <f t="shared" si="24"/>
        <v>1)</v>
      </c>
      <c r="W53" s="110" t="str">
        <f t="shared" si="24"/>
        <v/>
      </c>
      <c r="X53" s="110" t="str">
        <f t="shared" si="24"/>
        <v/>
      </c>
      <c r="Y53" s="110" t="str">
        <f t="shared" si="24"/>
        <v>23</v>
      </c>
      <c r="Z53" s="110" t="str">
        <f t="shared" si="24"/>
        <v/>
      </c>
      <c r="AA53" s="110" t="str">
        <f t="shared" si="24"/>
        <v>1)</v>
      </c>
      <c r="AB53" s="110" t="str">
        <f t="shared" si="24"/>
        <v>5)</v>
      </c>
      <c r="AC53" s="110" t="str">
        <f t="shared" si="24"/>
        <v>2)</v>
      </c>
      <c r="AD53" s="110" t="str">
        <f t="shared" si="24"/>
        <v>43</v>
      </c>
      <c r="AE53" s="110" t="str">
        <f t="shared" si="24"/>
        <v>9)</v>
      </c>
      <c r="AF53" s="110" t="str">
        <f t="shared" si="24"/>
        <v>Ч)</v>
      </c>
      <c r="AG53" s="110" t="str">
        <f t="shared" si="24"/>
        <v>1)</v>
      </c>
      <c r="AH53" s="110" t="str">
        <f t="shared" si="24"/>
        <v>8)</v>
      </c>
      <c r="AI53" s="110" t="str">
        <f t="shared" si="24"/>
        <v>2)</v>
      </c>
      <c r="AJ53" s="110" t="str">
        <f t="shared" si="24"/>
        <v>4)</v>
      </c>
      <c r="AK53" s="110" t="str">
        <f t="shared" si="3"/>
        <v>1)</v>
      </c>
      <c r="AL53" s="110" t="str">
        <f t="shared" si="3"/>
        <v>9)</v>
      </c>
      <c r="AM53" s="110" t="str">
        <f t="shared" si="3"/>
        <v>9)</v>
      </c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s="8" customFormat="1" ht="15.75" x14ac:dyDescent="0.25">
      <c r="A54" s="67" t="s">
        <v>80</v>
      </c>
      <c r="B54" s="67"/>
      <c r="C54" s="67"/>
      <c r="D54" s="67" t="s">
        <v>46</v>
      </c>
      <c r="E54" s="67"/>
      <c r="F54" s="67" t="s">
        <v>44</v>
      </c>
      <c r="G54" s="67" t="s">
        <v>113</v>
      </c>
      <c r="H54" s="67" t="s">
        <v>82</v>
      </c>
      <c r="I54" s="67" t="s">
        <v>85</v>
      </c>
      <c r="J54" s="67" t="s">
        <v>109</v>
      </c>
      <c r="K54" s="66" t="s">
        <v>123</v>
      </c>
      <c r="L54" s="67" t="s">
        <v>83</v>
      </c>
      <c r="M54" s="67" t="s">
        <v>47</v>
      </c>
      <c r="N54" s="67" t="s">
        <v>84</v>
      </c>
      <c r="O54" s="111" t="s">
        <v>135</v>
      </c>
      <c r="P54" s="67" t="s">
        <v>87</v>
      </c>
      <c r="Q54" s="67" t="s">
        <v>137</v>
      </c>
      <c r="R54" s="67" t="s">
        <v>137</v>
      </c>
      <c r="S54" s="67"/>
      <c r="T54" s="134" t="s">
        <v>62</v>
      </c>
      <c r="U54" s="135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</row>
    <row r="55" spans="1:50" s="6" customFormat="1" ht="15.75" x14ac:dyDescent="0.25">
      <c r="A55" s="66" t="s">
        <v>134</v>
      </c>
      <c r="B55" s="66"/>
      <c r="C55" s="66"/>
      <c r="D55" s="66" t="s">
        <v>120</v>
      </c>
      <c r="E55" s="66"/>
      <c r="F55" s="66" t="s">
        <v>101</v>
      </c>
      <c r="G55" s="66" t="s">
        <v>100</v>
      </c>
      <c r="H55" s="66" t="s">
        <v>98</v>
      </c>
      <c r="I55" s="111" t="s">
        <v>135</v>
      </c>
      <c r="J55" s="66" t="s">
        <v>105</v>
      </c>
      <c r="K55" s="66" t="s">
        <v>117</v>
      </c>
      <c r="L55" s="66" t="s">
        <v>108</v>
      </c>
      <c r="M55" s="66" t="s">
        <v>129</v>
      </c>
      <c r="N55" s="66" t="s">
        <v>106</v>
      </c>
      <c r="O55" s="66" t="s">
        <v>103</v>
      </c>
      <c r="P55" s="66" t="s">
        <v>107</v>
      </c>
      <c r="Q55" s="66" t="s">
        <v>112</v>
      </c>
      <c r="R55" s="66" t="s">
        <v>112</v>
      </c>
      <c r="S55" s="66"/>
      <c r="T55" s="134" t="s">
        <v>63</v>
      </c>
      <c r="U55" s="135"/>
      <c r="V55" s="110" t="str">
        <f t="shared" ref="V55:AJ55" si="25">RIGHT(A55,2)</f>
        <v>1)</v>
      </c>
      <c r="W55" s="110" t="str">
        <f t="shared" si="25"/>
        <v/>
      </c>
      <c r="X55" s="110" t="str">
        <f t="shared" si="25"/>
        <v/>
      </c>
      <c r="Y55" s="110" t="str">
        <f t="shared" si="25"/>
        <v>23</v>
      </c>
      <c r="Z55" s="110" t="str">
        <f t="shared" si="25"/>
        <v/>
      </c>
      <c r="AA55" s="110" t="str">
        <f t="shared" si="25"/>
        <v>2)</v>
      </c>
      <c r="AB55" s="110" t="str">
        <f t="shared" si="25"/>
        <v>1)</v>
      </c>
      <c r="AC55" s="110" t="str">
        <f t="shared" si="25"/>
        <v>5)</v>
      </c>
      <c r="AD55" s="110" t="str">
        <f t="shared" si="25"/>
        <v>Ч)</v>
      </c>
      <c r="AE55" s="110" t="str">
        <f t="shared" si="25"/>
        <v>5)</v>
      </c>
      <c r="AF55" s="110" t="str">
        <f t="shared" si="25"/>
        <v>43</v>
      </c>
      <c r="AG55" s="110" t="str">
        <f t="shared" si="25"/>
        <v>9)</v>
      </c>
      <c r="AH55" s="110" t="str">
        <f t="shared" si="25"/>
        <v>2)</v>
      </c>
      <c r="AI55" s="110" t="str">
        <f t="shared" si="25"/>
        <v>3)</v>
      </c>
      <c r="AJ55" s="110" t="str">
        <f t="shared" si="25"/>
        <v>4)</v>
      </c>
      <c r="AK55" s="110" t="str">
        <f t="shared" si="3"/>
        <v>1)</v>
      </c>
      <c r="AL55" s="110" t="str">
        <f t="shared" si="3"/>
        <v>8)</v>
      </c>
      <c r="AM55" s="110" t="str">
        <f t="shared" si="3"/>
        <v>8)</v>
      </c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</row>
    <row r="56" spans="1:50" s="8" customFormat="1" ht="15.75" x14ac:dyDescent="0.25">
      <c r="A56" s="67" t="s">
        <v>80</v>
      </c>
      <c r="B56" s="67" t="s">
        <v>81</v>
      </c>
      <c r="C56" s="67" t="s">
        <v>95</v>
      </c>
      <c r="D56" s="67" t="s">
        <v>46</v>
      </c>
      <c r="E56" s="67" t="s">
        <v>5</v>
      </c>
      <c r="F56" s="67" t="s">
        <v>82</v>
      </c>
      <c r="G56" s="67" t="s">
        <v>44</v>
      </c>
      <c r="H56" s="67" t="s">
        <v>113</v>
      </c>
      <c r="I56" s="66" t="s">
        <v>105</v>
      </c>
      <c r="J56" s="111" t="s">
        <v>135</v>
      </c>
      <c r="K56" s="67" t="s">
        <v>85</v>
      </c>
      <c r="L56" s="67" t="s">
        <v>109</v>
      </c>
      <c r="M56" s="67" t="s">
        <v>84</v>
      </c>
      <c r="N56" s="67" t="s">
        <v>45</v>
      </c>
      <c r="O56" s="67" t="s">
        <v>43</v>
      </c>
      <c r="P56" s="67" t="s">
        <v>83</v>
      </c>
      <c r="Q56" s="67" t="s">
        <v>47</v>
      </c>
      <c r="R56" s="67" t="s">
        <v>47</v>
      </c>
      <c r="S56" s="67"/>
      <c r="T56" s="134" t="s">
        <v>64</v>
      </c>
      <c r="U56" s="135"/>
      <c r="V56" s="110"/>
      <c r="W56" s="110"/>
      <c r="X56" s="110"/>
      <c r="Y56" s="110"/>
      <c r="Z56" s="110"/>
      <c r="AA56" s="110"/>
      <c r="AB56" s="110"/>
      <c r="AC56" s="110"/>
      <c r="AD56" s="110"/>
      <c r="AE56" s="110"/>
      <c r="AF56" s="110"/>
      <c r="AG56" s="110"/>
      <c r="AH56" s="110"/>
      <c r="AI56" s="110"/>
      <c r="AJ56" s="110"/>
      <c r="AK56" s="110"/>
      <c r="AL56" s="110"/>
      <c r="AM56" s="110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</row>
    <row r="57" spans="1:50" s="6" customFormat="1" ht="15.75" x14ac:dyDescent="0.25">
      <c r="A57" s="66" t="s">
        <v>134</v>
      </c>
      <c r="B57" s="66"/>
      <c r="C57" s="66"/>
      <c r="D57" s="66" t="s">
        <v>42</v>
      </c>
      <c r="E57" s="66" t="s">
        <v>116</v>
      </c>
      <c r="F57" s="66" t="s">
        <v>98</v>
      </c>
      <c r="G57" s="66" t="s">
        <v>101</v>
      </c>
      <c r="H57" s="66" t="s">
        <v>100</v>
      </c>
      <c r="I57" s="66" t="s">
        <v>131</v>
      </c>
      <c r="J57" s="66" t="s">
        <v>136</v>
      </c>
      <c r="K57" s="66" t="s">
        <v>107</v>
      </c>
      <c r="L57" s="66" t="s">
        <v>129</v>
      </c>
      <c r="M57" s="66" t="s">
        <v>108</v>
      </c>
      <c r="N57" s="66" t="s">
        <v>105</v>
      </c>
      <c r="O57" s="66" t="s">
        <v>110</v>
      </c>
      <c r="P57" s="66" t="s">
        <v>127</v>
      </c>
      <c r="Q57" s="66" t="s">
        <v>123</v>
      </c>
      <c r="R57" s="66" t="s">
        <v>123</v>
      </c>
      <c r="S57" s="66"/>
      <c r="T57" s="134" t="s">
        <v>65</v>
      </c>
      <c r="U57" s="135"/>
      <c r="V57" s="110" t="str">
        <f t="shared" ref="V57:AJ57" si="26">RIGHT(A57,2)</f>
        <v>1)</v>
      </c>
      <c r="W57" s="110" t="str">
        <f t="shared" si="26"/>
        <v/>
      </c>
      <c r="X57" s="110" t="str">
        <f t="shared" si="26"/>
        <v/>
      </c>
      <c r="Y57" s="110" t="str">
        <f t="shared" si="26"/>
        <v xml:space="preserve">а </v>
      </c>
      <c r="Z57" s="110" t="str">
        <f t="shared" si="26"/>
        <v>ая</v>
      </c>
      <c r="AA57" s="110" t="str">
        <f t="shared" si="26"/>
        <v>5)</v>
      </c>
      <c r="AB57" s="110" t="str">
        <f t="shared" si="26"/>
        <v>2)</v>
      </c>
      <c r="AC57" s="110" t="str">
        <f t="shared" si="26"/>
        <v>1)</v>
      </c>
      <c r="AD57" s="110" t="str">
        <f t="shared" si="26"/>
        <v>13</v>
      </c>
      <c r="AE57" s="110" t="str">
        <f t="shared" si="26"/>
        <v>6)</v>
      </c>
      <c r="AF57" s="110" t="str">
        <f t="shared" si="26"/>
        <v>1)</v>
      </c>
      <c r="AG57" s="110" t="str">
        <f t="shared" si="26"/>
        <v>2)</v>
      </c>
      <c r="AH57" s="110" t="str">
        <f t="shared" si="26"/>
        <v>9)</v>
      </c>
      <c r="AI57" s="110" t="str">
        <f t="shared" si="26"/>
        <v>5)</v>
      </c>
      <c r="AJ57" s="110" t="str">
        <f t="shared" si="26"/>
        <v>1)</v>
      </c>
      <c r="AK57" s="110" t="str">
        <f t="shared" si="3"/>
        <v>9)</v>
      </c>
      <c r="AL57" s="110" t="str">
        <f t="shared" si="3"/>
        <v>4)</v>
      </c>
      <c r="AM57" s="110" t="str">
        <f t="shared" si="3"/>
        <v>4)</v>
      </c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</row>
    <row r="58" spans="1:50" s="8" customFormat="1" ht="15.75" x14ac:dyDescent="0.25">
      <c r="A58" s="67" t="s">
        <v>80</v>
      </c>
      <c r="B58" s="67"/>
      <c r="C58" s="67"/>
      <c r="D58" s="67" t="s">
        <v>121</v>
      </c>
      <c r="E58" s="67" t="s">
        <v>96</v>
      </c>
      <c r="F58" s="67" t="s">
        <v>113</v>
      </c>
      <c r="G58" s="67" t="s">
        <v>82</v>
      </c>
      <c r="H58" s="67" t="s">
        <v>44</v>
      </c>
      <c r="I58" s="67" t="s">
        <v>132</v>
      </c>
      <c r="J58" s="67" t="s">
        <v>137</v>
      </c>
      <c r="K58" s="67" t="s">
        <v>83</v>
      </c>
      <c r="L58" s="67" t="s">
        <v>84</v>
      </c>
      <c r="M58" s="67" t="s">
        <v>109</v>
      </c>
      <c r="N58" s="67" t="s">
        <v>88</v>
      </c>
      <c r="O58" s="67" t="s">
        <v>87</v>
      </c>
      <c r="P58" s="67" t="s">
        <v>128</v>
      </c>
      <c r="Q58" s="67" t="s">
        <v>43</v>
      </c>
      <c r="R58" s="67" t="s">
        <v>43</v>
      </c>
      <c r="S58" s="67"/>
      <c r="T58" s="134" t="s">
        <v>66</v>
      </c>
      <c r="U58" s="135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</row>
    <row r="59" spans="1:50" s="6" customFormat="1" ht="15.75" x14ac:dyDescent="0.25">
      <c r="A59" s="67" t="s">
        <v>22</v>
      </c>
      <c r="B59" s="66"/>
      <c r="C59" s="66"/>
      <c r="D59" s="67" t="s">
        <v>22</v>
      </c>
      <c r="E59" s="66" t="s">
        <v>97</v>
      </c>
      <c r="F59" s="66" t="s">
        <v>22</v>
      </c>
      <c r="G59" s="66" t="s">
        <v>22</v>
      </c>
      <c r="H59" s="66" t="s">
        <v>22</v>
      </c>
      <c r="I59" s="66" t="s">
        <v>22</v>
      </c>
      <c r="J59" s="66" t="s">
        <v>22</v>
      </c>
      <c r="K59" s="66" t="s">
        <v>22</v>
      </c>
      <c r="L59" s="66" t="s">
        <v>22</v>
      </c>
      <c r="M59" s="66" t="s">
        <v>22</v>
      </c>
      <c r="N59" s="66" t="s">
        <v>22</v>
      </c>
      <c r="O59" s="66" t="s">
        <v>22</v>
      </c>
      <c r="P59" s="66" t="s">
        <v>22</v>
      </c>
      <c r="Q59" s="67" t="s">
        <v>22</v>
      </c>
      <c r="R59" s="67" t="s">
        <v>22</v>
      </c>
      <c r="S59" s="66" t="s">
        <v>22</v>
      </c>
      <c r="T59" s="134" t="s">
        <v>67</v>
      </c>
      <c r="U59" s="135"/>
      <c r="V59" s="110" t="str">
        <f t="shared" ref="V59:AJ59" si="27">RIGHT(A59,2)</f>
        <v>--</v>
      </c>
      <c r="W59" s="110" t="str">
        <f t="shared" si="27"/>
        <v/>
      </c>
      <c r="X59" s="110" t="str">
        <f t="shared" si="27"/>
        <v/>
      </c>
      <c r="Y59" s="110" t="str">
        <f t="shared" si="27"/>
        <v>--</v>
      </c>
      <c r="Z59" s="110" t="str">
        <f t="shared" si="27"/>
        <v>н"</v>
      </c>
      <c r="AA59" s="110" t="str">
        <f t="shared" si="27"/>
        <v>--</v>
      </c>
      <c r="AB59" s="110" t="str">
        <f t="shared" si="27"/>
        <v>--</v>
      </c>
      <c r="AC59" s="110" t="str">
        <f t="shared" si="27"/>
        <v>--</v>
      </c>
      <c r="AD59" s="110" t="str">
        <f t="shared" si="27"/>
        <v>--</v>
      </c>
      <c r="AE59" s="110" t="str">
        <f t="shared" si="27"/>
        <v>--</v>
      </c>
      <c r="AF59" s="110" t="str">
        <f t="shared" si="27"/>
        <v>--</v>
      </c>
      <c r="AG59" s="110" t="str">
        <f t="shared" si="27"/>
        <v>--</v>
      </c>
      <c r="AH59" s="110" t="str">
        <f t="shared" si="27"/>
        <v>--</v>
      </c>
      <c r="AI59" s="110" t="str">
        <f t="shared" si="27"/>
        <v>--</v>
      </c>
      <c r="AJ59" s="110" t="str">
        <f t="shared" si="27"/>
        <v>--</v>
      </c>
      <c r="AK59" s="110" t="str">
        <f t="shared" si="3"/>
        <v>--</v>
      </c>
      <c r="AL59" s="110" t="str">
        <f t="shared" si="3"/>
        <v>--</v>
      </c>
      <c r="AM59" s="110" t="str">
        <f t="shared" si="3"/>
        <v>--</v>
      </c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</row>
    <row r="60" spans="1:50" s="8" customFormat="1" ht="15.75" x14ac:dyDescent="0.25">
      <c r="A60" s="67" t="s">
        <v>22</v>
      </c>
      <c r="B60" s="67"/>
      <c r="C60" s="67"/>
      <c r="D60" s="67" t="s">
        <v>22</v>
      </c>
      <c r="E60" s="67"/>
      <c r="F60" s="67" t="s">
        <v>22</v>
      </c>
      <c r="G60" s="67" t="s">
        <v>22</v>
      </c>
      <c r="H60" s="67" t="s">
        <v>22</v>
      </c>
      <c r="I60" s="67" t="s">
        <v>22</v>
      </c>
      <c r="J60" s="67" t="s">
        <v>22</v>
      </c>
      <c r="K60" s="67" t="s">
        <v>22</v>
      </c>
      <c r="L60" s="67" t="s">
        <v>22</v>
      </c>
      <c r="M60" s="67" t="s">
        <v>22</v>
      </c>
      <c r="N60" s="67" t="s">
        <v>22</v>
      </c>
      <c r="O60" s="67" t="s">
        <v>22</v>
      </c>
      <c r="P60" s="67" t="s">
        <v>22</v>
      </c>
      <c r="Q60" s="67" t="s">
        <v>22</v>
      </c>
      <c r="R60" s="67" t="s">
        <v>22</v>
      </c>
      <c r="S60" s="67" t="s">
        <v>22</v>
      </c>
      <c r="T60" s="134" t="s">
        <v>68</v>
      </c>
      <c r="U60" s="135"/>
      <c r="V60" s="110"/>
      <c r="W60" s="110"/>
      <c r="X60" s="110"/>
      <c r="Y60" s="110"/>
      <c r="Z60" s="110"/>
      <c r="AA60" s="110"/>
      <c r="AB60" s="110"/>
      <c r="AC60" s="110"/>
      <c r="AD60" s="110"/>
      <c r="AE60" s="110"/>
      <c r="AF60" s="110"/>
      <c r="AG60" s="110"/>
      <c r="AH60" s="110"/>
      <c r="AI60" s="110"/>
      <c r="AJ60" s="110"/>
      <c r="AK60" s="110"/>
      <c r="AL60" s="110"/>
      <c r="AM60" s="110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</row>
    <row r="61" spans="1:50" s="76" customFormat="1" ht="15.75" x14ac:dyDescent="0.25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139" t="s">
        <v>59</v>
      </c>
      <c r="T61" s="140"/>
      <c r="U61" s="141"/>
      <c r="V61" s="110" t="str">
        <f t="shared" ref="V61:AJ61" si="28">RIGHT(A61,2)</f>
        <v/>
      </c>
      <c r="W61" s="110" t="str">
        <f t="shared" si="28"/>
        <v/>
      </c>
      <c r="X61" s="110" t="str">
        <f t="shared" si="28"/>
        <v/>
      </c>
      <c r="Y61" s="110" t="str">
        <f t="shared" si="28"/>
        <v/>
      </c>
      <c r="Z61" s="110" t="str">
        <f t="shared" si="28"/>
        <v/>
      </c>
      <c r="AA61" s="110" t="str">
        <f t="shared" si="28"/>
        <v/>
      </c>
      <c r="AB61" s="110" t="str">
        <f t="shared" si="28"/>
        <v/>
      </c>
      <c r="AC61" s="110" t="str">
        <f t="shared" si="28"/>
        <v/>
      </c>
      <c r="AD61" s="110" t="str">
        <f t="shared" si="28"/>
        <v/>
      </c>
      <c r="AE61" s="110" t="str">
        <f t="shared" si="28"/>
        <v/>
      </c>
      <c r="AF61" s="110" t="str">
        <f t="shared" si="28"/>
        <v/>
      </c>
      <c r="AG61" s="110" t="str">
        <f t="shared" si="28"/>
        <v/>
      </c>
      <c r="AH61" s="110" t="str">
        <f t="shared" si="28"/>
        <v/>
      </c>
      <c r="AI61" s="110" t="str">
        <f t="shared" si="28"/>
        <v/>
      </c>
      <c r="AJ61" s="110" t="str">
        <f t="shared" si="28"/>
        <v/>
      </c>
      <c r="AK61" s="110" t="str">
        <f t="shared" si="3"/>
        <v/>
      </c>
      <c r="AL61" s="110" t="str">
        <f t="shared" si="3"/>
        <v/>
      </c>
      <c r="AM61" s="110" t="str">
        <f t="shared" si="3"/>
        <v/>
      </c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</row>
    <row r="62" spans="1:50" s="77" customFormat="1" ht="15.75" x14ac:dyDescent="0.25">
      <c r="A62" s="73"/>
      <c r="B62" s="73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73"/>
      <c r="Q62" s="73"/>
      <c r="R62" s="73"/>
      <c r="S62" s="136"/>
      <c r="T62" s="137"/>
      <c r="U62" s="138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  <c r="AH62" s="110"/>
      <c r="AI62" s="110"/>
      <c r="AJ62" s="110"/>
      <c r="AK62" s="110"/>
      <c r="AL62" s="110"/>
      <c r="AM62" s="110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</row>
    <row r="63" spans="1:50" s="93" customFormat="1" ht="33" customHeight="1" x14ac:dyDescent="0.25">
      <c r="A63" s="90"/>
      <c r="B63" s="91"/>
      <c r="C63" s="91"/>
      <c r="D63" s="91"/>
      <c r="E63" s="92"/>
      <c r="F63" s="90"/>
      <c r="G63" s="91"/>
      <c r="H63" s="91"/>
      <c r="I63" s="91"/>
      <c r="J63" s="92"/>
      <c r="K63" s="90"/>
      <c r="L63" s="152"/>
      <c r="M63" s="153"/>
      <c r="N63" s="153"/>
      <c r="O63" s="154"/>
      <c r="P63" s="155" t="s">
        <v>151</v>
      </c>
      <c r="Q63" s="156"/>
      <c r="R63" s="156"/>
      <c r="S63" s="156"/>
      <c r="T63" s="156"/>
      <c r="U63" s="157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  <c r="AH63" s="99"/>
      <c r="AI63" s="99"/>
      <c r="AJ63" s="99"/>
      <c r="AK63" s="106"/>
      <c r="AL63" s="106"/>
      <c r="AM63" s="106"/>
    </row>
    <row r="64" spans="1:50" s="94" customFormat="1" ht="13.5" customHeight="1" x14ac:dyDescent="0.2">
      <c r="A64" s="149" t="s">
        <v>10</v>
      </c>
      <c r="B64" s="150"/>
      <c r="C64" s="150"/>
      <c r="D64" s="150"/>
      <c r="E64" s="151"/>
      <c r="F64" s="149" t="s">
        <v>10</v>
      </c>
      <c r="G64" s="150"/>
      <c r="H64" s="150"/>
      <c r="I64" s="150"/>
      <c r="J64" s="151"/>
      <c r="K64" s="149" t="s">
        <v>10</v>
      </c>
      <c r="L64" s="150"/>
      <c r="M64" s="150"/>
      <c r="N64" s="150"/>
      <c r="O64" s="151"/>
      <c r="P64" s="149" t="s">
        <v>10</v>
      </c>
      <c r="Q64" s="150"/>
      <c r="R64" s="150"/>
      <c r="S64" s="150"/>
      <c r="T64" s="150"/>
      <c r="U64" s="151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  <c r="AH64" s="99"/>
      <c r="AI64" s="99"/>
      <c r="AJ64" s="99"/>
      <c r="AK64" s="106"/>
      <c r="AL64" s="106"/>
      <c r="AM64" s="106"/>
    </row>
    <row r="65" spans="1:50" s="76" customFormat="1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9"/>
      <c r="R65" s="79"/>
      <c r="S65" s="134" t="s">
        <v>49</v>
      </c>
      <c r="T65" s="148"/>
      <c r="U65" s="135"/>
      <c r="V65" s="99" t="str">
        <f t="shared" ref="V65:AJ66" si="29">RIGHT(A65,2)</f>
        <v/>
      </c>
      <c r="W65" s="99" t="str">
        <f t="shared" si="29"/>
        <v/>
      </c>
      <c r="X65" s="99" t="str">
        <f t="shared" si="29"/>
        <v/>
      </c>
      <c r="Y65" s="99" t="str">
        <f t="shared" si="29"/>
        <v/>
      </c>
      <c r="Z65" s="99" t="str">
        <f t="shared" si="29"/>
        <v/>
      </c>
      <c r="AA65" s="99" t="str">
        <f t="shared" si="29"/>
        <v/>
      </c>
      <c r="AB65" s="99" t="str">
        <f t="shared" si="29"/>
        <v/>
      </c>
      <c r="AC65" s="99" t="str">
        <f t="shared" si="29"/>
        <v/>
      </c>
      <c r="AD65" s="99" t="str">
        <f t="shared" si="29"/>
        <v/>
      </c>
      <c r="AE65" s="99" t="str">
        <f t="shared" si="29"/>
        <v/>
      </c>
      <c r="AF65" s="99" t="str">
        <f t="shared" si="29"/>
        <v/>
      </c>
      <c r="AG65" s="99" t="str">
        <f t="shared" si="29"/>
        <v/>
      </c>
      <c r="AH65" s="99" t="str">
        <f t="shared" si="29"/>
        <v/>
      </c>
      <c r="AI65" s="99" t="str">
        <f t="shared" si="29"/>
        <v/>
      </c>
      <c r="AJ65" s="99" t="str">
        <f t="shared" si="29"/>
        <v/>
      </c>
      <c r="AK65" s="106" t="str">
        <f t="shared" si="3"/>
        <v/>
      </c>
      <c r="AL65" s="106" t="str">
        <f t="shared" si="3"/>
        <v/>
      </c>
      <c r="AM65" s="106" t="str">
        <f t="shared" si="3"/>
        <v/>
      </c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</row>
    <row r="66" spans="1:50" s="6" customFormat="1" x14ac:dyDescent="0.2">
      <c r="A66" s="66"/>
      <c r="B66" s="66"/>
      <c r="C66" s="66"/>
      <c r="D66" s="66"/>
      <c r="E66" s="66"/>
      <c r="F66" s="66" t="s">
        <v>34</v>
      </c>
      <c r="G66" s="66" t="s">
        <v>31</v>
      </c>
      <c r="H66" s="66" t="s">
        <v>22</v>
      </c>
      <c r="I66" s="66"/>
      <c r="J66" s="66" t="s">
        <v>13</v>
      </c>
      <c r="K66" s="66"/>
      <c r="L66" s="66" t="s">
        <v>12</v>
      </c>
      <c r="M66" s="66" t="s">
        <v>22</v>
      </c>
      <c r="N66" s="66"/>
      <c r="O66" s="66"/>
      <c r="P66" s="66"/>
      <c r="Q66" s="66"/>
      <c r="R66" s="66"/>
      <c r="S66" s="134" t="s">
        <v>50</v>
      </c>
      <c r="T66" s="148"/>
      <c r="U66" s="135"/>
      <c r="V66" s="99" t="str">
        <f t="shared" si="29"/>
        <v/>
      </c>
      <c r="W66" s="99" t="str">
        <f t="shared" si="29"/>
        <v/>
      </c>
      <c r="X66" s="99" t="str">
        <f t="shared" si="29"/>
        <v/>
      </c>
      <c r="Y66" s="99" t="str">
        <f t="shared" si="29"/>
        <v/>
      </c>
      <c r="Z66" s="99" t="str">
        <f t="shared" si="29"/>
        <v/>
      </c>
      <c r="AA66" s="99" t="str">
        <f t="shared" si="29"/>
        <v>43</v>
      </c>
      <c r="AB66" s="99" t="str">
        <f t="shared" si="29"/>
        <v>23</v>
      </c>
      <c r="AC66" s="99" t="str">
        <f t="shared" si="29"/>
        <v>--</v>
      </c>
      <c r="AD66" s="99" t="str">
        <f t="shared" si="29"/>
        <v/>
      </c>
      <c r="AE66" s="99" t="str">
        <f t="shared" si="29"/>
        <v>13</v>
      </c>
      <c r="AF66" s="99" t="str">
        <f t="shared" si="29"/>
        <v/>
      </c>
      <c r="AG66" s="99" t="str">
        <f t="shared" si="29"/>
        <v>ра</v>
      </c>
      <c r="AH66" s="99" t="str">
        <f t="shared" si="29"/>
        <v>--</v>
      </c>
      <c r="AI66" s="99" t="str">
        <f t="shared" si="29"/>
        <v/>
      </c>
      <c r="AJ66" s="99" t="str">
        <f t="shared" si="29"/>
        <v/>
      </c>
      <c r="AK66" s="106" t="str">
        <f t="shared" si="3"/>
        <v/>
      </c>
      <c r="AL66" s="106" t="str">
        <f t="shared" si="3"/>
        <v/>
      </c>
      <c r="AM66" s="106" t="str">
        <f t="shared" si="3"/>
        <v/>
      </c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</row>
    <row r="67" spans="1:50" s="8" customFormat="1" x14ac:dyDescent="0.2">
      <c r="A67" s="67"/>
      <c r="B67" s="67"/>
      <c r="C67" s="67"/>
      <c r="D67" s="67"/>
      <c r="E67" s="67"/>
      <c r="F67" s="67" t="s">
        <v>35</v>
      </c>
      <c r="G67" s="67" t="s">
        <v>29</v>
      </c>
      <c r="H67" s="67" t="s">
        <v>22</v>
      </c>
      <c r="I67" s="67"/>
      <c r="J67" s="67" t="s">
        <v>14</v>
      </c>
      <c r="K67" s="67"/>
      <c r="L67" s="67" t="s">
        <v>21</v>
      </c>
      <c r="M67" s="67" t="s">
        <v>22</v>
      </c>
      <c r="N67" s="67"/>
      <c r="O67" s="67"/>
      <c r="P67" s="67"/>
      <c r="Q67" s="67"/>
      <c r="R67" s="67"/>
      <c r="S67" s="134" t="s">
        <v>51</v>
      </c>
      <c r="T67" s="148"/>
      <c r="U67" s="135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  <c r="AH67" s="99"/>
      <c r="AI67" s="99"/>
      <c r="AJ67" s="99"/>
      <c r="AK67" s="106"/>
      <c r="AL67" s="106"/>
      <c r="AM67" s="106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</row>
    <row r="68" spans="1:50" s="6" customFormat="1" x14ac:dyDescent="0.2">
      <c r="A68" s="66"/>
      <c r="B68" s="66"/>
      <c r="C68" s="66"/>
      <c r="D68" s="66"/>
      <c r="E68" s="66"/>
      <c r="F68" s="66" t="s">
        <v>36</v>
      </c>
      <c r="G68" s="66" t="s">
        <v>32</v>
      </c>
      <c r="H68" s="66" t="s">
        <v>27</v>
      </c>
      <c r="I68" s="66"/>
      <c r="J68" s="66" t="s">
        <v>12</v>
      </c>
      <c r="K68" s="66"/>
      <c r="L68" s="66" t="s">
        <v>13</v>
      </c>
      <c r="M68" s="66" t="s">
        <v>24</v>
      </c>
      <c r="N68" s="66"/>
      <c r="O68" s="66"/>
      <c r="P68" s="66"/>
      <c r="Q68" s="66"/>
      <c r="R68" s="66"/>
      <c r="S68" s="134" t="s">
        <v>52</v>
      </c>
      <c r="T68" s="148"/>
      <c r="U68" s="135"/>
      <c r="V68" s="99" t="str">
        <f t="shared" ref="V68:AJ68" si="30">RIGHT(A68,2)</f>
        <v/>
      </c>
      <c r="W68" s="99" t="str">
        <f t="shared" si="30"/>
        <v/>
      </c>
      <c r="X68" s="99" t="str">
        <f t="shared" si="30"/>
        <v/>
      </c>
      <c r="Y68" s="99" t="str">
        <f t="shared" si="30"/>
        <v/>
      </c>
      <c r="Z68" s="99" t="str">
        <f t="shared" si="30"/>
        <v/>
      </c>
      <c r="AA68" s="99" t="str">
        <f t="shared" si="30"/>
        <v>43</v>
      </c>
      <c r="AB68" s="99" t="str">
        <f t="shared" si="30"/>
        <v>23</v>
      </c>
      <c r="AC68" s="99" t="str">
        <f t="shared" si="30"/>
        <v>23</v>
      </c>
      <c r="AD68" s="99" t="str">
        <f t="shared" si="30"/>
        <v/>
      </c>
      <c r="AE68" s="99" t="str">
        <f t="shared" si="30"/>
        <v>ра</v>
      </c>
      <c r="AF68" s="99" t="str">
        <f t="shared" si="30"/>
        <v/>
      </c>
      <c r="AG68" s="99" t="str">
        <f t="shared" si="30"/>
        <v>13</v>
      </c>
      <c r="AH68" s="99" t="str">
        <f t="shared" si="30"/>
        <v>53</v>
      </c>
      <c r="AI68" s="99" t="str">
        <f t="shared" si="30"/>
        <v/>
      </c>
      <c r="AJ68" s="99" t="str">
        <f t="shared" si="30"/>
        <v/>
      </c>
      <c r="AK68" s="106" t="str">
        <f t="shared" ref="AK68:AM74" si="31">RIGHT(P68,2)</f>
        <v/>
      </c>
      <c r="AL68" s="106" t="str">
        <f t="shared" si="31"/>
        <v/>
      </c>
      <c r="AM68" s="106" t="str">
        <f t="shared" si="31"/>
        <v/>
      </c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</row>
    <row r="69" spans="1:50" s="8" customFormat="1" x14ac:dyDescent="0.2">
      <c r="A69" s="67"/>
      <c r="B69" s="67" t="s">
        <v>5</v>
      </c>
      <c r="C69" s="67" t="s">
        <v>5</v>
      </c>
      <c r="D69" s="67" t="s">
        <v>5</v>
      </c>
      <c r="E69" s="67" t="s">
        <v>5</v>
      </c>
      <c r="F69" s="67" t="s">
        <v>35</v>
      </c>
      <c r="G69" s="67" t="s">
        <v>29</v>
      </c>
      <c r="H69" s="67" t="s">
        <v>15</v>
      </c>
      <c r="I69" s="67" t="s">
        <v>5</v>
      </c>
      <c r="J69" s="67" t="s">
        <v>23</v>
      </c>
      <c r="K69" s="67" t="s">
        <v>5</v>
      </c>
      <c r="L69" s="67" t="s">
        <v>14</v>
      </c>
      <c r="M69" s="67" t="s">
        <v>25</v>
      </c>
      <c r="N69" s="67" t="s">
        <v>5</v>
      </c>
      <c r="O69" s="67"/>
      <c r="P69" s="67"/>
      <c r="Q69" s="67"/>
      <c r="R69" s="67"/>
      <c r="S69" s="134" t="s">
        <v>53</v>
      </c>
      <c r="T69" s="148"/>
      <c r="U69" s="135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  <c r="AH69" s="99"/>
      <c r="AI69" s="99"/>
      <c r="AJ69" s="99"/>
      <c r="AK69" s="106"/>
      <c r="AL69" s="106"/>
      <c r="AM69" s="106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</row>
    <row r="70" spans="1:50" s="6" customFormat="1" x14ac:dyDescent="0.2">
      <c r="A70" s="66"/>
      <c r="B70" s="66" t="s">
        <v>33</v>
      </c>
      <c r="C70" s="66"/>
      <c r="D70" s="66"/>
      <c r="E70" s="66"/>
      <c r="F70" s="66" t="s">
        <v>24</v>
      </c>
      <c r="G70" s="66" t="s">
        <v>13</v>
      </c>
      <c r="H70" s="66" t="s">
        <v>17</v>
      </c>
      <c r="I70" s="66"/>
      <c r="J70" s="66" t="s">
        <v>38</v>
      </c>
      <c r="K70" s="66"/>
      <c r="L70" s="66" t="s">
        <v>11</v>
      </c>
      <c r="M70" s="66" t="s">
        <v>12</v>
      </c>
      <c r="N70" s="66"/>
      <c r="O70" s="66"/>
      <c r="P70" s="66"/>
      <c r="Q70" s="66"/>
      <c r="R70" s="66"/>
      <c r="S70" s="134" t="s">
        <v>54</v>
      </c>
      <c r="T70" s="148"/>
      <c r="U70" s="135"/>
      <c r="V70" s="99" t="str">
        <f t="shared" ref="V70:AJ70" si="32">RIGHT(A70,2)</f>
        <v/>
      </c>
      <c r="W70" s="99" t="str">
        <f t="shared" si="32"/>
        <v>30</v>
      </c>
      <c r="X70" s="99" t="str">
        <f t="shared" si="32"/>
        <v/>
      </c>
      <c r="Y70" s="99" t="str">
        <f t="shared" si="32"/>
        <v/>
      </c>
      <c r="Z70" s="99" t="str">
        <f t="shared" si="32"/>
        <v/>
      </c>
      <c r="AA70" s="99" t="str">
        <f t="shared" si="32"/>
        <v>53</v>
      </c>
      <c r="AB70" s="99" t="str">
        <f t="shared" si="32"/>
        <v>13</v>
      </c>
      <c r="AC70" s="99" t="str">
        <f t="shared" si="32"/>
        <v>23</v>
      </c>
      <c r="AD70" s="99" t="str">
        <f t="shared" si="32"/>
        <v/>
      </c>
      <c r="AE70" s="99" t="str">
        <f t="shared" si="32"/>
        <v>43</v>
      </c>
      <c r="AF70" s="99" t="str">
        <f t="shared" si="32"/>
        <v/>
      </c>
      <c r="AG70" s="99" t="str">
        <f t="shared" si="32"/>
        <v>52</v>
      </c>
      <c r="AH70" s="99" t="str">
        <f t="shared" si="32"/>
        <v>ра</v>
      </c>
      <c r="AI70" s="99" t="str">
        <f t="shared" si="32"/>
        <v/>
      </c>
      <c r="AJ70" s="99" t="str">
        <f t="shared" si="32"/>
        <v/>
      </c>
      <c r="AK70" s="106" t="str">
        <f t="shared" si="31"/>
        <v/>
      </c>
      <c r="AL70" s="106" t="str">
        <f t="shared" si="31"/>
        <v/>
      </c>
      <c r="AM70" s="106" t="str">
        <f t="shared" si="31"/>
        <v/>
      </c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</row>
    <row r="71" spans="1:50" s="8" customFormat="1" x14ac:dyDescent="0.2">
      <c r="A71" s="67"/>
      <c r="B71" s="67" t="s">
        <v>30</v>
      </c>
      <c r="C71" s="67"/>
      <c r="D71" s="67"/>
      <c r="E71" s="67"/>
      <c r="F71" s="67" t="s">
        <v>25</v>
      </c>
      <c r="G71" s="67" t="s">
        <v>14</v>
      </c>
      <c r="H71" s="67" t="s">
        <v>16</v>
      </c>
      <c r="I71" s="67"/>
      <c r="J71" s="67" t="s">
        <v>20</v>
      </c>
      <c r="K71" s="67"/>
      <c r="L71" s="67" t="s">
        <v>9</v>
      </c>
      <c r="M71" s="67" t="s">
        <v>21</v>
      </c>
      <c r="N71" s="67"/>
      <c r="O71" s="67"/>
      <c r="P71" s="67"/>
      <c r="Q71" s="67"/>
      <c r="R71" s="67"/>
      <c r="S71" s="134" t="s">
        <v>55</v>
      </c>
      <c r="T71" s="148"/>
      <c r="U71" s="135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106"/>
      <c r="AL71" s="106"/>
      <c r="AM71" s="106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</row>
    <row r="72" spans="1:50" s="6" customFormat="1" x14ac:dyDescent="0.2">
      <c r="A72" s="66"/>
      <c r="B72" s="66" t="s">
        <v>19</v>
      </c>
      <c r="C72" s="66"/>
      <c r="D72" s="66"/>
      <c r="E72" s="66"/>
      <c r="F72" s="66" t="s">
        <v>13</v>
      </c>
      <c r="G72" s="66" t="s">
        <v>24</v>
      </c>
      <c r="H72" s="66" t="s">
        <v>37</v>
      </c>
      <c r="I72" s="66"/>
      <c r="J72" s="66" t="s">
        <v>39</v>
      </c>
      <c r="K72" s="66"/>
      <c r="L72" s="66" t="s">
        <v>27</v>
      </c>
      <c r="M72" s="66" t="s">
        <v>40</v>
      </c>
      <c r="N72" s="66"/>
      <c r="O72" s="66"/>
      <c r="P72" s="66"/>
      <c r="Q72" s="66"/>
      <c r="R72" s="66"/>
      <c r="S72" s="134" t="s">
        <v>56</v>
      </c>
      <c r="T72" s="148"/>
      <c r="U72" s="135"/>
      <c r="V72" s="99" t="str">
        <f t="shared" ref="V72:AJ72" si="33">RIGHT(A72,2)</f>
        <v/>
      </c>
      <c r="W72" s="99" t="str">
        <f t="shared" si="33"/>
        <v>А.</v>
      </c>
      <c r="X72" s="99" t="str">
        <f t="shared" si="33"/>
        <v/>
      </c>
      <c r="Y72" s="99" t="str">
        <f t="shared" si="33"/>
        <v/>
      </c>
      <c r="Z72" s="99" t="str">
        <f t="shared" si="33"/>
        <v/>
      </c>
      <c r="AA72" s="99" t="str">
        <f t="shared" si="33"/>
        <v>13</v>
      </c>
      <c r="AB72" s="99" t="str">
        <f t="shared" si="33"/>
        <v>53</v>
      </c>
      <c r="AC72" s="99" t="str">
        <f t="shared" si="33"/>
        <v>52</v>
      </c>
      <c r="AD72" s="99" t="str">
        <f t="shared" si="33"/>
        <v/>
      </c>
      <c r="AE72" s="99" t="str">
        <f t="shared" si="33"/>
        <v>43</v>
      </c>
      <c r="AF72" s="99" t="str">
        <f t="shared" si="33"/>
        <v/>
      </c>
      <c r="AG72" s="99" t="str">
        <f t="shared" si="33"/>
        <v>23</v>
      </c>
      <c r="AH72" s="99" t="str">
        <f t="shared" si="33"/>
        <v>26</v>
      </c>
      <c r="AI72" s="99" t="str">
        <f t="shared" si="33"/>
        <v/>
      </c>
      <c r="AJ72" s="99" t="str">
        <f t="shared" si="33"/>
        <v/>
      </c>
      <c r="AK72" s="106" t="str">
        <f t="shared" si="31"/>
        <v/>
      </c>
      <c r="AL72" s="106" t="str">
        <f t="shared" si="31"/>
        <v/>
      </c>
      <c r="AM72" s="106" t="str">
        <f t="shared" si="31"/>
        <v/>
      </c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</row>
    <row r="73" spans="1:50" s="8" customFormat="1" x14ac:dyDescent="0.2">
      <c r="A73" s="67"/>
      <c r="B73" s="67"/>
      <c r="C73" s="67"/>
      <c r="D73" s="67"/>
      <c r="E73" s="67"/>
      <c r="F73" s="67" t="s">
        <v>28</v>
      </c>
      <c r="G73" s="67" t="s">
        <v>25</v>
      </c>
      <c r="H73" s="67" t="s">
        <v>15</v>
      </c>
      <c r="I73" s="67"/>
      <c r="J73" s="67" t="s">
        <v>20</v>
      </c>
      <c r="K73" s="67"/>
      <c r="L73" s="67" t="s">
        <v>16</v>
      </c>
      <c r="M73" s="67" t="s">
        <v>26</v>
      </c>
      <c r="N73" s="67"/>
      <c r="O73" s="67"/>
      <c r="P73" s="67"/>
      <c r="Q73" s="67"/>
      <c r="R73" s="67"/>
      <c r="S73" s="134" t="s">
        <v>57</v>
      </c>
      <c r="T73" s="148"/>
      <c r="U73" s="135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  <c r="AH73" s="99"/>
      <c r="AI73" s="99"/>
      <c r="AJ73" s="99"/>
      <c r="AK73" s="106"/>
      <c r="AL73" s="106"/>
      <c r="AM73" s="106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</row>
    <row r="74" spans="1:50" s="76" customFormat="1" x14ac:dyDescent="0.2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4"/>
      <c r="P74" s="74"/>
      <c r="Q74" s="74"/>
      <c r="R74" s="74"/>
      <c r="S74" s="139" t="s">
        <v>58</v>
      </c>
      <c r="T74" s="140"/>
      <c r="U74" s="141"/>
      <c r="V74" s="99" t="str">
        <f t="shared" ref="V74:AJ74" si="34">RIGHT(A74,2)</f>
        <v/>
      </c>
      <c r="W74" s="99" t="str">
        <f t="shared" si="34"/>
        <v/>
      </c>
      <c r="X74" s="99" t="str">
        <f t="shared" si="34"/>
        <v/>
      </c>
      <c r="Y74" s="99" t="str">
        <f t="shared" si="34"/>
        <v/>
      </c>
      <c r="Z74" s="99" t="str">
        <f t="shared" si="34"/>
        <v/>
      </c>
      <c r="AA74" s="99" t="str">
        <f t="shared" si="34"/>
        <v/>
      </c>
      <c r="AB74" s="99" t="str">
        <f t="shared" si="34"/>
        <v/>
      </c>
      <c r="AC74" s="99" t="str">
        <f t="shared" si="34"/>
        <v/>
      </c>
      <c r="AD74" s="99" t="str">
        <f t="shared" si="34"/>
        <v/>
      </c>
      <c r="AE74" s="99" t="str">
        <f t="shared" si="34"/>
        <v/>
      </c>
      <c r="AF74" s="99" t="str">
        <f t="shared" si="34"/>
        <v/>
      </c>
      <c r="AG74" s="99" t="str">
        <f t="shared" si="34"/>
        <v/>
      </c>
      <c r="AH74" s="99" t="str">
        <f t="shared" si="34"/>
        <v/>
      </c>
      <c r="AI74" s="99" t="str">
        <f t="shared" si="34"/>
        <v/>
      </c>
      <c r="AJ74" s="99" t="str">
        <f t="shared" si="34"/>
        <v/>
      </c>
      <c r="AK74" s="106" t="str">
        <f t="shared" si="31"/>
        <v/>
      </c>
      <c r="AL74" s="106" t="str">
        <f t="shared" si="31"/>
        <v/>
      </c>
      <c r="AM74" s="106" t="str">
        <f t="shared" si="31"/>
        <v/>
      </c>
      <c r="AN74" s="75"/>
      <c r="AO74" s="75"/>
      <c r="AP74" s="75"/>
      <c r="AQ74" s="75"/>
      <c r="AR74" s="75"/>
      <c r="AS74" s="75"/>
      <c r="AT74" s="75"/>
      <c r="AU74" s="75"/>
      <c r="AV74" s="75"/>
      <c r="AW74" s="75"/>
      <c r="AX74" s="75"/>
    </row>
    <row r="75" spans="1:50" s="77" customFormat="1" ht="12" x14ac:dyDescent="0.2">
      <c r="A75" s="73"/>
      <c r="B75" s="73"/>
      <c r="C75" s="73"/>
      <c r="D75" s="73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73"/>
      <c r="Q75" s="73"/>
      <c r="R75" s="73"/>
      <c r="S75" s="136"/>
      <c r="T75" s="137"/>
      <c r="U75" s="138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  <c r="AH75" s="99"/>
      <c r="AI75" s="99"/>
      <c r="AJ75" s="99"/>
      <c r="AK75" s="106"/>
      <c r="AL75" s="106"/>
      <c r="AM75" s="106"/>
      <c r="AN75" s="75"/>
      <c r="AO75" s="75"/>
      <c r="AP75" s="75"/>
      <c r="AQ75" s="75"/>
      <c r="AR75" s="75"/>
      <c r="AS75" s="75"/>
      <c r="AT75" s="75"/>
      <c r="AU75" s="75"/>
      <c r="AV75" s="75"/>
      <c r="AW75" s="75"/>
      <c r="AX75" s="75"/>
    </row>
    <row r="76" spans="1:50" s="102" customFormat="1" x14ac:dyDescent="0.2">
      <c r="V76" s="103"/>
      <c r="W76" s="103"/>
      <c r="X76" s="103"/>
      <c r="Y76" s="103"/>
      <c r="Z76" s="103"/>
      <c r="AA76" s="103"/>
      <c r="AB76" s="103"/>
      <c r="AC76" s="103"/>
      <c r="AD76" s="103"/>
      <c r="AE76" s="103"/>
      <c r="AF76" s="103"/>
      <c r="AG76" s="103"/>
      <c r="AH76" s="103"/>
      <c r="AI76" s="103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/>
      <c r="AK77"/>
      <c r="AL77"/>
      <c r="AM77"/>
    </row>
    <row r="78" spans="1:50" x14ac:dyDescent="0.2"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/>
      <c r="AK78"/>
      <c r="AL78"/>
      <c r="AM78"/>
    </row>
    <row r="79" spans="1:50" x14ac:dyDescent="0.2"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/>
      <c r="AK79"/>
      <c r="AL79"/>
      <c r="AM79"/>
    </row>
    <row r="80" spans="1:50" x14ac:dyDescent="0.2"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/>
      <c r="AK80"/>
      <c r="AL80"/>
      <c r="AM80"/>
    </row>
    <row r="81" spans="22:39" x14ac:dyDescent="0.2"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/>
      <c r="AK81"/>
      <c r="AL81"/>
      <c r="AM81"/>
    </row>
    <row r="82" spans="22:39" x14ac:dyDescent="0.2"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/>
      <c r="AK82"/>
      <c r="AL82"/>
      <c r="AM82"/>
    </row>
    <row r="83" spans="22:39" x14ac:dyDescent="0.2"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/>
      <c r="AK83"/>
      <c r="AL83"/>
      <c r="AM83"/>
    </row>
    <row r="84" spans="22:39" x14ac:dyDescent="0.2"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/>
      <c r="AK84"/>
      <c r="AL84"/>
      <c r="AM84"/>
    </row>
    <row r="85" spans="22:39" x14ac:dyDescent="0.2"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/>
      <c r="AK85"/>
      <c r="AL85"/>
      <c r="AM85"/>
    </row>
    <row r="86" spans="22:39" x14ac:dyDescent="0.2"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/>
      <c r="AK86"/>
      <c r="AL86"/>
      <c r="AM86"/>
    </row>
    <row r="87" spans="22:39" x14ac:dyDescent="0.2"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/>
      <c r="AK87"/>
      <c r="AL87"/>
      <c r="AM87"/>
    </row>
    <row r="88" spans="22:39" x14ac:dyDescent="0.2"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/>
      <c r="AK88"/>
      <c r="AL88"/>
      <c r="AM88"/>
    </row>
    <row r="89" spans="22:39" x14ac:dyDescent="0.2">
      <c r="V89" s="101"/>
      <c r="W89" s="101"/>
      <c r="X89" s="101"/>
      <c r="Y89" s="101"/>
      <c r="Z89" s="101"/>
      <c r="AA89" s="101"/>
      <c r="AB89" s="101"/>
      <c r="AC89" s="101"/>
      <c r="AD89" s="101"/>
      <c r="AE89" s="101"/>
      <c r="AF89" s="101"/>
      <c r="AG89" s="101"/>
      <c r="AH89" s="101"/>
      <c r="AI89" s="101"/>
      <c r="AJ89" s="89"/>
      <c r="AK89" s="107"/>
      <c r="AL89" s="107"/>
      <c r="AM89" s="107"/>
    </row>
  </sheetData>
  <mergeCells count="97">
    <mergeCell ref="T9:U9"/>
    <mergeCell ref="T10:U10"/>
    <mergeCell ref="T57:U57"/>
    <mergeCell ref="T58:U58"/>
    <mergeCell ref="T59:U59"/>
    <mergeCell ref="T48:U48"/>
    <mergeCell ref="T52:U52"/>
    <mergeCell ref="T53:U53"/>
    <mergeCell ref="T54:U54"/>
    <mergeCell ref="T55:U55"/>
    <mergeCell ref="T34:U34"/>
    <mergeCell ref="T21:U21"/>
    <mergeCell ref="T12:U12"/>
    <mergeCell ref="T16:U16"/>
    <mergeCell ref="T17:U17"/>
    <mergeCell ref="T18:U18"/>
    <mergeCell ref="T4:U4"/>
    <mergeCell ref="T5:U5"/>
    <mergeCell ref="T6:U6"/>
    <mergeCell ref="T7:U7"/>
    <mergeCell ref="T8:U8"/>
    <mergeCell ref="L63:O63"/>
    <mergeCell ref="P63:U63"/>
    <mergeCell ref="T11:U11"/>
    <mergeCell ref="T29:U29"/>
    <mergeCell ref="T30:U30"/>
    <mergeCell ref="T31:U31"/>
    <mergeCell ref="T32:U32"/>
    <mergeCell ref="T33:U33"/>
    <mergeCell ref="T20:U20"/>
    <mergeCell ref="T28:U28"/>
    <mergeCell ref="T56:U56"/>
    <mergeCell ref="T35:U35"/>
    <mergeCell ref="T36:U36"/>
    <mergeCell ref="T60:U60"/>
    <mergeCell ref="S62:U62"/>
    <mergeCell ref="S61:U61"/>
    <mergeCell ref="A64:E64"/>
    <mergeCell ref="F64:J64"/>
    <mergeCell ref="K64:O64"/>
    <mergeCell ref="P64:U64"/>
    <mergeCell ref="S65:U65"/>
    <mergeCell ref="T41:U41"/>
    <mergeCell ref="T42:U42"/>
    <mergeCell ref="S14:U14"/>
    <mergeCell ref="S26:U26"/>
    <mergeCell ref="S75:U75"/>
    <mergeCell ref="S69:U69"/>
    <mergeCell ref="S70:U70"/>
    <mergeCell ref="S71:U71"/>
    <mergeCell ref="S72:U72"/>
    <mergeCell ref="S73:U73"/>
    <mergeCell ref="S74:U74"/>
    <mergeCell ref="S66:U66"/>
    <mergeCell ref="S67:U67"/>
    <mergeCell ref="S68:U68"/>
    <mergeCell ref="P51:U51"/>
    <mergeCell ref="T46:U46"/>
    <mergeCell ref="K15:O15"/>
    <mergeCell ref="P15:U15"/>
    <mergeCell ref="T23:U23"/>
    <mergeCell ref="T24:U24"/>
    <mergeCell ref="T40:U40"/>
    <mergeCell ref="S25:U25"/>
    <mergeCell ref="S38:U38"/>
    <mergeCell ref="S37:U37"/>
    <mergeCell ref="T22:U22"/>
    <mergeCell ref="T19:U19"/>
    <mergeCell ref="A1:C1"/>
    <mergeCell ref="F1:H1"/>
    <mergeCell ref="K1:M1"/>
    <mergeCell ref="P1:S1"/>
    <mergeCell ref="P3:U3"/>
    <mergeCell ref="F3:J3"/>
    <mergeCell ref="T2:U2"/>
    <mergeCell ref="K51:O51"/>
    <mergeCell ref="P39:U39"/>
    <mergeCell ref="A3:E3"/>
    <mergeCell ref="K3:O3"/>
    <mergeCell ref="F51:J51"/>
    <mergeCell ref="A51:E51"/>
    <mergeCell ref="A39:E39"/>
    <mergeCell ref="F39:J39"/>
    <mergeCell ref="K39:O39"/>
    <mergeCell ref="S13:U13"/>
    <mergeCell ref="K27:O27"/>
    <mergeCell ref="A27:E27"/>
    <mergeCell ref="F27:J27"/>
    <mergeCell ref="P27:U27"/>
    <mergeCell ref="A15:E15"/>
    <mergeCell ref="F15:J15"/>
    <mergeCell ref="T47:U47"/>
    <mergeCell ref="T43:U43"/>
    <mergeCell ref="T44:U44"/>
    <mergeCell ref="T45:U45"/>
    <mergeCell ref="S50:U50"/>
    <mergeCell ref="S49:U49"/>
  </mergeCells>
  <phoneticPr fontId="18" type="noConversion"/>
  <conditionalFormatting sqref="A52:A60 E24 F23:M24 T16:T18 O24:T24 AN16:IV26 M21:N22 D22 Q21:T21 D19:H19 D20 F20:H20 I19:O20 A19:B22 A17:S18 D21:H21 P21:P22 Q19:Q20 S19:T20 J21:L21 F22 H22:L22 A23:A24 P22:T23 C23:D24">
    <cfRule type="expression" dxfId="81" priority="40" stopIfTrue="1">
      <formula>COUNTIF($A16:$P16,A16)&gt;1</formula>
    </cfRule>
  </conditionalFormatting>
  <conditionalFormatting sqref="A5:D12">
    <cfRule type="expression" dxfId="80" priority="42" stopIfTrue="1">
      <formula>COUNTIF($A5:$P5,A5)&gt;1</formula>
    </cfRule>
  </conditionalFormatting>
  <conditionalFormatting sqref="A29:D36">
    <cfRule type="expression" dxfId="79" priority="247" stopIfTrue="1">
      <formula>COUNTIF($A29:$P29,A29)&gt;1</formula>
    </cfRule>
  </conditionalFormatting>
  <conditionalFormatting sqref="A41:D48">
    <cfRule type="expression" dxfId="78" priority="208" stopIfTrue="1">
      <formula>COUNTIF($A41:$P41,A41)&gt;1</formula>
    </cfRule>
  </conditionalFormatting>
  <conditionalFormatting sqref="A63:L63">
    <cfRule type="expression" dxfId="77" priority="6270" stopIfTrue="1">
      <formula>COUNTIF($A63:$O63,A63)&gt;1</formula>
    </cfRule>
  </conditionalFormatting>
  <conditionalFormatting sqref="A65:Q75">
    <cfRule type="expression" dxfId="76" priority="4289" stopIfTrue="1">
      <formula>COUNTIF($A65:$P65,A65)&gt;1</formula>
    </cfRule>
  </conditionalFormatting>
  <conditionalFormatting sqref="A4:S4">
    <cfRule type="expression" dxfId="75" priority="2617" stopIfTrue="1">
      <formula>COUNTIF($A4:$P4,A4)&gt;1</formula>
    </cfRule>
  </conditionalFormatting>
  <conditionalFormatting sqref="A16:S16">
    <cfRule type="expression" dxfId="74" priority="2606" stopIfTrue="1">
      <formula>COUNTIF($A16:$P16,A16)&gt;1</formula>
    </cfRule>
  </conditionalFormatting>
  <conditionalFormatting sqref="A28:S28">
    <cfRule type="expression" dxfId="73" priority="2635" stopIfTrue="1">
      <formula>COUNTIF($A28:$P28,A28)&gt;1</formula>
    </cfRule>
  </conditionalFormatting>
  <conditionalFormatting sqref="A40:S40">
    <cfRule type="expression" dxfId="72" priority="2283" stopIfTrue="1">
      <formula>COUNTIF($A40:$P40,A40)&gt;1</formula>
    </cfRule>
  </conditionalFormatting>
  <conditionalFormatting sqref="A25:U26">
    <cfRule type="expression" dxfId="71" priority="2608" stopIfTrue="1">
      <formula>COUNTIF($A25:$P25,A25)&gt;1</formula>
    </cfRule>
  </conditionalFormatting>
  <conditionalFormatting sqref="A37:U38">
    <cfRule type="expression" dxfId="70" priority="2714" stopIfTrue="1">
      <formula>COUNTIF($A37:$P37,A37)&gt;1</formula>
    </cfRule>
  </conditionalFormatting>
  <conditionalFormatting sqref="A49:U50">
    <cfRule type="expression" dxfId="69" priority="2376" stopIfTrue="1">
      <formula>COUNTIF($A49:$P49,A49)&gt;1</formula>
    </cfRule>
  </conditionalFormatting>
  <conditionalFormatting sqref="A61:U62">
    <cfRule type="expression" dxfId="68" priority="2586" stopIfTrue="1">
      <formula>COUNTIF($A61:$P61,A61)&gt;1</formula>
    </cfRule>
  </conditionalFormatting>
  <conditionalFormatting sqref="B53:D60">
    <cfRule type="expression" dxfId="67" priority="123" stopIfTrue="1">
      <formula>COUNTIF($A53:$P53,B53)&gt;1</formula>
    </cfRule>
  </conditionalFormatting>
  <conditionalFormatting sqref="B52:S52">
    <cfRule type="expression" dxfId="66" priority="2584" stopIfTrue="1">
      <formula>COUNTIF($A52:$P52,B52)&gt;1</formula>
    </cfRule>
  </conditionalFormatting>
  <conditionalFormatting sqref="E5:E8">
    <cfRule type="expression" dxfId="65" priority="473" stopIfTrue="1">
      <formula>COUNTIF($A5:$P5,E5)&gt;1</formula>
    </cfRule>
  </conditionalFormatting>
  <conditionalFormatting sqref="E9:E11">
    <cfRule type="expression" dxfId="64" priority="474" stopIfTrue="1">
      <formula>COUNTIF($A43:$P43,E9)&gt;1</formula>
    </cfRule>
  </conditionalFormatting>
  <conditionalFormatting sqref="E21:E23">
    <cfRule type="expression" dxfId="63" priority="410" stopIfTrue="1">
      <formula>COUNTIF($A55:$P55,E21)&gt;1</formula>
    </cfRule>
  </conditionalFormatting>
  <conditionalFormatting sqref="E29:E32">
    <cfRule type="expression" dxfId="62" priority="308" stopIfTrue="1">
      <formula>COUNTIF($A29:$P29,E29)&gt;1</formula>
    </cfRule>
  </conditionalFormatting>
  <conditionalFormatting sqref="E35">
    <cfRule type="expression" dxfId="61" priority="307" stopIfTrue="1">
      <formula>COUNTIF($A69:$P69,E35)&gt;1</formula>
    </cfRule>
  </conditionalFormatting>
  <conditionalFormatting sqref="E36">
    <cfRule type="expression" dxfId="60" priority="310" stopIfTrue="1">
      <formula>COUNTIF($A36:$P36,E36)&gt;1</formula>
    </cfRule>
  </conditionalFormatting>
  <conditionalFormatting sqref="E41:E44">
    <cfRule type="expression" dxfId="59" priority="226" stopIfTrue="1">
      <formula>COUNTIF($A41:$P41,E41)&gt;1</formula>
    </cfRule>
  </conditionalFormatting>
  <conditionalFormatting sqref="E45:E47">
    <cfRule type="expression" dxfId="58" priority="225" stopIfTrue="1">
      <formula>COUNTIF($A79:$P79,E45)&gt;1</formula>
    </cfRule>
  </conditionalFormatting>
  <conditionalFormatting sqref="E48">
    <cfRule type="expression" dxfId="57" priority="228" stopIfTrue="1">
      <formula>COUNTIF($A48:$P48,E48)&gt;1</formula>
    </cfRule>
  </conditionalFormatting>
  <conditionalFormatting sqref="E53:E56">
    <cfRule type="expression" dxfId="56" priority="120" stopIfTrue="1">
      <formula>COUNTIF($A53:$P53,E53)&gt;1</formula>
    </cfRule>
  </conditionalFormatting>
  <conditionalFormatting sqref="E57:E59">
    <cfRule type="expression" dxfId="55" priority="119" stopIfTrue="1">
      <formula>COUNTIF($A91:$P91,E57)&gt;1</formula>
    </cfRule>
  </conditionalFormatting>
  <conditionalFormatting sqref="E60">
    <cfRule type="expression" dxfId="54" priority="122" stopIfTrue="1">
      <formula>COUNTIF($A60:$P60,E60)&gt;1</formula>
    </cfRule>
  </conditionalFormatting>
  <conditionalFormatting sqref="E12:K12">
    <cfRule type="expression" dxfId="53" priority="479" stopIfTrue="1">
      <formula>COUNTIF($A12:$P12,E12)&gt;1</formula>
    </cfRule>
  </conditionalFormatting>
  <conditionalFormatting sqref="F53:I60">
    <cfRule type="expression" dxfId="52" priority="43" stopIfTrue="1">
      <formula>COUNTIF($A53:$P53,F53)&gt;1</formula>
    </cfRule>
  </conditionalFormatting>
  <conditionalFormatting sqref="F7:K11">
    <cfRule type="expression" dxfId="51" priority="416" stopIfTrue="1">
      <formula>COUNTIF($A7:$P7,F7)&gt;1</formula>
    </cfRule>
  </conditionalFormatting>
  <conditionalFormatting sqref="F5:R6">
    <cfRule type="expression" dxfId="50" priority="441" stopIfTrue="1">
      <formula>COUNTIF($A5:$P5,F5)&gt;1</formula>
    </cfRule>
  </conditionalFormatting>
  <conditionalFormatting sqref="F29:S36">
    <cfRule type="expression" dxfId="49" priority="251" stopIfTrue="1">
      <formula>COUNTIF($A29:$P29,F29)&gt;1</formula>
    </cfRule>
  </conditionalFormatting>
  <conditionalFormatting sqref="F41:S48">
    <cfRule type="expression" dxfId="48" priority="36" stopIfTrue="1">
      <formula>COUNTIF($A41:$P41,F41)&gt;1</formula>
    </cfRule>
  </conditionalFormatting>
  <conditionalFormatting sqref="J59:N60">
    <cfRule type="expression" dxfId="47" priority="523" stopIfTrue="1">
      <formula>COUNTIF($A59:$P59,J59)&gt;1</formula>
    </cfRule>
  </conditionalFormatting>
  <conditionalFormatting sqref="J53:P58">
    <cfRule type="expression" dxfId="46" priority="44" stopIfTrue="1">
      <formula>COUNTIF($A53:$P53,J53)&gt;1</formula>
    </cfRule>
  </conditionalFormatting>
  <conditionalFormatting sqref="L7:L12">
    <cfRule type="expression" dxfId="45" priority="434" stopIfTrue="1">
      <formula>COUNTIF($A7:$P7,L7)&gt;1</formula>
    </cfRule>
  </conditionalFormatting>
  <conditionalFormatting sqref="M7:R11">
    <cfRule type="expression" dxfId="44" priority="38" stopIfTrue="1">
      <formula>COUNTIF($A7:$P7,M7)&gt;1</formula>
    </cfRule>
  </conditionalFormatting>
  <conditionalFormatting sqref="M12:S12">
    <cfRule type="expression" dxfId="43" priority="1587" stopIfTrue="1">
      <formula>COUNTIF($A12:$P12,M12)&gt;1</formula>
    </cfRule>
  </conditionalFormatting>
  <conditionalFormatting sqref="O59:P59">
    <cfRule type="expression" dxfId="42" priority="2499" stopIfTrue="1">
      <formula>COUNTIF($A59:$P59,O59)&gt;1</formula>
    </cfRule>
  </conditionalFormatting>
  <conditionalFormatting sqref="O60:S60">
    <cfRule type="expression" dxfId="41" priority="2500" stopIfTrue="1">
      <formula>COUNTIF($A60:$P60,O60)&gt;1</formula>
    </cfRule>
  </conditionalFormatting>
  <conditionalFormatting sqref="Q53:S59">
    <cfRule type="expression" dxfId="40" priority="35" stopIfTrue="1">
      <formula>COUNTIF($A53:$P53,Q53)&gt;1</formula>
    </cfRule>
  </conditionalFormatting>
  <conditionalFormatting sqref="Q13:U14">
    <cfRule type="expression" dxfId="39" priority="2619" stopIfTrue="1">
      <formula>COUNTIF($A13:$P13,Q13)&gt;1</formula>
    </cfRule>
  </conditionalFormatting>
  <conditionalFormatting sqref="R65:U74">
    <cfRule type="expression" dxfId="38" priority="2707" stopIfTrue="1">
      <formula>COUNTIF($A65:$P65,R65)&gt;1</formula>
    </cfRule>
  </conditionalFormatting>
  <conditionalFormatting sqref="S5:S11">
    <cfRule type="expression" dxfId="37" priority="734" stopIfTrue="1">
      <formula>COUNTIF($A5:$P5,S5)&gt;1</formula>
    </cfRule>
  </conditionalFormatting>
  <conditionalFormatting sqref="T4:T12">
    <cfRule type="expression" dxfId="36" priority="2611" stopIfTrue="1">
      <formula>COUNTIF($A4:$P4,T4)&gt;1</formula>
    </cfRule>
  </conditionalFormatting>
  <conditionalFormatting sqref="T28:T36">
    <cfRule type="expression" dxfId="35" priority="2255" stopIfTrue="1">
      <formula>COUNTIF($A28:$P28,T28)&gt;1</formula>
    </cfRule>
  </conditionalFormatting>
  <conditionalFormatting sqref="T40:T48">
    <cfRule type="expression" dxfId="34" priority="2248" stopIfTrue="1">
      <formula>COUNTIF($A40:$P40,T40)&gt;1</formula>
    </cfRule>
  </conditionalFormatting>
  <conditionalFormatting sqref="T52:T60">
    <cfRule type="expression" dxfId="33" priority="2241" stopIfTrue="1">
      <formula>COUNTIF($A52:$P52,T52)&gt;1</formula>
    </cfRule>
  </conditionalFormatting>
  <conditionalFormatting sqref="V4:AM62">
    <cfRule type="cellIs" dxfId="32" priority="6508" stopIfTrue="1" operator="equal">
      <formula>""</formula>
    </cfRule>
    <cfRule type="cellIs" dxfId="31" priority="6509" stopIfTrue="1" operator="equal">
      <formula>"--"</formula>
    </cfRule>
    <cfRule type="expression" dxfId="30" priority="6510" stopIfTrue="1">
      <formula>COUNTIF($W4:$AO4,V4)&gt;1</formula>
    </cfRule>
  </conditionalFormatting>
  <conditionalFormatting sqref="AN4:IV14 B13:P13 A14:P14 AN28:IV38 AN40:IV50 AN52:IV62 AM65:IV75 R75:AJ75 V63:AM75">
    <cfRule type="expression" dxfId="29" priority="6271" stopIfTrue="1">
      <formula>COUNTIF($A4:$P4,A4)&gt;1</formula>
    </cfRule>
  </conditionalFormatting>
  <conditionalFormatting sqref="V63:IV63">
    <cfRule type="cellIs" dxfId="28" priority="6268" stopIfTrue="1" operator="equal">
      <formula>0</formula>
    </cfRule>
  </conditionalFormatting>
  <conditionalFormatting sqref="O21:O22 P19:P20">
    <cfRule type="expression" dxfId="27" priority="6519" stopIfTrue="1">
      <formula>COUNTIF($A21:$P21,O19)&gt;1</formula>
    </cfRule>
  </conditionalFormatting>
  <conditionalFormatting sqref="C21:C22">
    <cfRule type="expression" dxfId="26" priority="6542" stopIfTrue="1">
      <formula>COUNTIF($A19:$P19,C21)&gt;1</formula>
    </cfRule>
  </conditionalFormatting>
  <conditionalFormatting sqref="C19">
    <cfRule type="expression" dxfId="25" priority="9" stopIfTrue="1">
      <formula>COUNTIF($A19:$P19,C19)&gt;1</formula>
    </cfRule>
  </conditionalFormatting>
  <conditionalFormatting sqref="E21:F21">
    <cfRule type="expression" dxfId="24" priority="6566" stopIfTrue="1">
      <formula>COUNTIF($A20:$P20,E21)&gt;1</formula>
    </cfRule>
  </conditionalFormatting>
  <conditionalFormatting sqref="F21">
    <cfRule type="expression" dxfId="23" priority="8" stopIfTrue="1">
      <formula>COUNTIF($A55:$P55,F21)&gt;1</formula>
    </cfRule>
  </conditionalFormatting>
  <conditionalFormatting sqref="R19:R20">
    <cfRule type="expression" dxfId="22" priority="7" stopIfTrue="1">
      <formula>COUNTIF($A19:$P19,R19)&gt;1</formula>
    </cfRule>
  </conditionalFormatting>
  <conditionalFormatting sqref="C20">
    <cfRule type="expression" dxfId="21" priority="6" stopIfTrue="1">
      <formula>COUNTIF($A20:$P20,C20)&gt;1</formula>
    </cfRule>
  </conditionalFormatting>
  <conditionalFormatting sqref="I21">
    <cfRule type="expression" dxfId="20" priority="5" stopIfTrue="1">
      <formula>COUNTIF($A21:$P21,I21)&gt;1</formula>
    </cfRule>
  </conditionalFormatting>
  <conditionalFormatting sqref="G22">
    <cfRule type="expression" dxfId="19" priority="4" stopIfTrue="1">
      <formula>COUNTIF($A22:$P22,G22)&gt;1</formula>
    </cfRule>
  </conditionalFormatting>
  <conditionalFormatting sqref="O23">
    <cfRule type="expression" dxfId="18" priority="3" stopIfTrue="1">
      <formula>COUNTIF($A23:$P23,O23)&gt;1</formula>
    </cfRule>
  </conditionalFormatting>
  <conditionalFormatting sqref="B23:B24">
    <cfRule type="expression" dxfId="17" priority="2" stopIfTrue="1">
      <formula>COUNTIF($A23:$P23,B23)&gt;1</formula>
    </cfRule>
  </conditionalFormatting>
  <conditionalFormatting sqref="E33:E34">
    <cfRule type="expression" dxfId="16" priority="1" stopIfTrue="1">
      <formula>COUNTIF($A33:$P33,E33)&gt;1</formula>
    </cfRule>
  </conditionalFormatting>
  <printOptions horizontalCentered="1"/>
  <pageMargins left="0" right="0" top="0" bottom="0" header="0" footer="0"/>
  <pageSetup paperSize="9" scale="54" orientation="portrait" horizontalDpi="120" verticalDpi="144" r:id="rId1"/>
  <headerFooter alignWithMargins="0"/>
  <rowBreaks count="1" manualBreakCount="1">
    <brk id="63" max="35" man="1"/>
  </rowBreaks>
  <colBreaks count="5" manualBreakCount="5">
    <brk id="5" max="62" man="1"/>
    <brk id="10" max="62" man="1"/>
    <brk id="15" max="1048575" man="1"/>
    <brk id="19" max="62" man="1"/>
    <brk id="21" max="62" man="1"/>
  </colBreaks>
  <ignoredErrors>
    <ignoredError sqref="V4" unlocked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EBF7-1479-493D-8586-4D6552767E31}">
  <sheetPr codeName="Лист5"/>
  <dimension ref="A1:E58"/>
  <sheetViews>
    <sheetView showGridLines="0" showZeros="0" view="pageBreakPreview" zoomScaleNormal="100" zoomScaleSheetLayoutView="100" workbookViewId="0">
      <selection activeCell="C44" sqref="C44"/>
    </sheetView>
  </sheetViews>
  <sheetFormatPr defaultRowHeight="12.75" x14ac:dyDescent="0.2"/>
  <cols>
    <col min="1" max="5" width="20.7109375" customWidth="1"/>
  </cols>
  <sheetData>
    <row r="1" spans="1:5" ht="20.25" x14ac:dyDescent="0.3">
      <c r="A1" s="167" t="s">
        <v>6</v>
      </c>
      <c r="B1" s="167"/>
      <c r="C1" s="167"/>
      <c r="D1" s="167"/>
      <c r="E1" s="167"/>
    </row>
    <row r="2" spans="1:5" ht="20.25" x14ac:dyDescent="0.3">
      <c r="A2" s="167" t="s">
        <v>0</v>
      </c>
      <c r="B2" s="167"/>
      <c r="C2" s="167"/>
      <c r="D2" s="167"/>
      <c r="E2" s="167"/>
    </row>
    <row r="3" spans="1:5" ht="20.25" x14ac:dyDescent="0.3">
      <c r="A3" s="168">
        <f>'На неделю'!D1</f>
        <v>46266</v>
      </c>
      <c r="B3" s="168"/>
      <c r="C3" s="168"/>
      <c r="D3" s="168"/>
      <c r="E3" s="168"/>
    </row>
    <row r="4" spans="1:5" ht="18" x14ac:dyDescent="0.2">
      <c r="A4" s="2" t="str">
        <f>'На неделю'!A2</f>
        <v>144</v>
      </c>
      <c r="B4" s="2" t="str">
        <f>'На неделю'!B2</f>
        <v>145</v>
      </c>
      <c r="C4" s="2" t="str">
        <f>'На неделю'!C2</f>
        <v>146</v>
      </c>
      <c r="D4" s="2" t="str">
        <f>'На неделю'!D2</f>
        <v>147</v>
      </c>
      <c r="E4" s="2" t="str">
        <f>'На неделю'!E2</f>
        <v>148</v>
      </c>
    </row>
    <row r="5" spans="1:5" s="56" customFormat="1" ht="12" x14ac:dyDescent="0.2">
      <c r="A5" s="70">
        <f>'На неделю'!A4</f>
        <v>0</v>
      </c>
      <c r="B5" s="70">
        <f>'На неделю'!B4</f>
        <v>0</v>
      </c>
      <c r="C5" s="70">
        <f>'На неделю'!C4</f>
        <v>0</v>
      </c>
      <c r="D5" s="70">
        <f>'На неделю'!D4</f>
        <v>0</v>
      </c>
      <c r="E5" s="70">
        <f>'На неделю'!E4</f>
        <v>0</v>
      </c>
    </row>
    <row r="6" spans="1:5" x14ac:dyDescent="0.2">
      <c r="A6" s="112">
        <f>'На неделю'!A5</f>
        <v>0</v>
      </c>
      <c r="B6" s="9">
        <f>'На неделю'!B5</f>
        <v>0</v>
      </c>
      <c r="C6" s="9">
        <f>'На неделю'!C5</f>
        <v>0</v>
      </c>
      <c r="D6" s="9">
        <f>'На неделю'!D5</f>
        <v>0</v>
      </c>
      <c r="E6" s="9">
        <f>'На неделю'!E5</f>
        <v>0</v>
      </c>
    </row>
    <row r="7" spans="1:5" x14ac:dyDescent="0.2">
      <c r="A7" s="10">
        <f>'На неделю'!A6</f>
        <v>0</v>
      </c>
      <c r="B7" s="10">
        <f>'На неделю'!B6</f>
        <v>0</v>
      </c>
      <c r="C7" s="10">
        <f>'На неделю'!C6</f>
        <v>0</v>
      </c>
      <c r="D7" s="10">
        <f>'На неделю'!D6</f>
        <v>0</v>
      </c>
      <c r="E7" s="10">
        <f>'На неделю'!E6</f>
        <v>0</v>
      </c>
    </row>
    <row r="8" spans="1:5" x14ac:dyDescent="0.2">
      <c r="A8" s="9">
        <f>'На неделю'!A7</f>
        <v>0</v>
      </c>
      <c r="B8" s="9">
        <f>'На неделю'!B7</f>
        <v>0</v>
      </c>
      <c r="C8" s="9">
        <f>'На неделю'!C7</f>
        <v>0</v>
      </c>
      <c r="D8" s="9">
        <f>'На неделю'!D7</f>
        <v>0</v>
      </c>
      <c r="E8" s="9">
        <f>'На неделю'!E7</f>
        <v>0</v>
      </c>
    </row>
    <row r="9" spans="1:5" x14ac:dyDescent="0.2">
      <c r="A9" s="10">
        <f>'На неделю'!A8</f>
        <v>0</v>
      </c>
      <c r="B9" s="10">
        <f>'На неделю'!B8</f>
        <v>0</v>
      </c>
      <c r="C9" s="10">
        <f>'На неделю'!C8</f>
        <v>0</v>
      </c>
      <c r="D9" s="10">
        <f>'На неделю'!D8</f>
        <v>0</v>
      </c>
      <c r="E9" s="10">
        <f>'На неделю'!E8</f>
        <v>0</v>
      </c>
    </row>
    <row r="10" spans="1:5" x14ac:dyDescent="0.2">
      <c r="A10" s="9">
        <f>'На неделю'!A9</f>
        <v>0</v>
      </c>
      <c r="B10" s="9">
        <f>'На неделю'!B9</f>
        <v>0</v>
      </c>
      <c r="C10" s="9">
        <f>'На неделю'!C9</f>
        <v>0</v>
      </c>
      <c r="D10" s="9">
        <f>'На неделю'!D9</f>
        <v>0</v>
      </c>
      <c r="E10" s="9">
        <f>'На неделю'!E9</f>
        <v>0</v>
      </c>
    </row>
    <row r="11" spans="1:5" x14ac:dyDescent="0.2">
      <c r="A11" s="10">
        <f>'На неделю'!A10</f>
        <v>0</v>
      </c>
      <c r="B11" s="10">
        <f>'На неделю'!B10</f>
        <v>0</v>
      </c>
      <c r="C11" s="10">
        <f>'На неделю'!C10</f>
        <v>0</v>
      </c>
      <c r="D11" s="10">
        <f>'На неделю'!D10</f>
        <v>0</v>
      </c>
      <c r="E11" s="10">
        <f>'На неделю'!E10</f>
        <v>0</v>
      </c>
    </row>
    <row r="12" spans="1:5" x14ac:dyDescent="0.2">
      <c r="A12" s="9">
        <f>'На неделю'!A11</f>
        <v>0</v>
      </c>
      <c r="B12" s="9">
        <f>'На неделю'!B11</f>
        <v>0</v>
      </c>
      <c r="C12" s="9">
        <f>'На неделю'!C11</f>
        <v>0</v>
      </c>
      <c r="D12" s="9">
        <f>'На неделю'!D11</f>
        <v>0</v>
      </c>
      <c r="E12" s="9">
        <f>'На неделю'!E11</f>
        <v>0</v>
      </c>
    </row>
    <row r="13" spans="1:5" x14ac:dyDescent="0.2">
      <c r="A13" s="10">
        <f>'На неделю'!A12</f>
        <v>0</v>
      </c>
      <c r="B13" s="10">
        <f>'На неделю'!B12</f>
        <v>0</v>
      </c>
      <c r="C13" s="10">
        <f>'На неделю'!C12</f>
        <v>0</v>
      </c>
      <c r="D13" s="10">
        <f>'На неделю'!D12</f>
        <v>0</v>
      </c>
      <c r="E13" s="10">
        <f>'На неделю'!E12</f>
        <v>0</v>
      </c>
    </row>
    <row r="14" spans="1:5" s="56" customFormat="1" ht="12" x14ac:dyDescent="0.2">
      <c r="A14" s="70">
        <f>'На неделю'!A13</f>
        <v>0</v>
      </c>
      <c r="B14" s="70">
        <f>'На неделю'!B13</f>
        <v>0</v>
      </c>
      <c r="C14" s="70">
        <f>'На неделю'!C13</f>
        <v>0</v>
      </c>
      <c r="D14" s="70">
        <f>'На неделю'!D13</f>
        <v>0</v>
      </c>
      <c r="E14" s="70">
        <f>'На неделю'!E13</f>
        <v>0</v>
      </c>
    </row>
    <row r="15" spans="1:5" s="57" customFormat="1" ht="12" x14ac:dyDescent="0.2">
      <c r="A15" s="69">
        <f>'На неделю'!A14</f>
        <v>0</v>
      </c>
      <c r="B15" s="69">
        <f>'На неделю'!B14</f>
        <v>0</v>
      </c>
      <c r="C15" s="69">
        <f>'На неделю'!C14</f>
        <v>0</v>
      </c>
      <c r="D15" s="69">
        <f>'На неделю'!D14</f>
        <v>0</v>
      </c>
      <c r="E15" s="69">
        <f>'На неделю'!E14</f>
        <v>0</v>
      </c>
    </row>
    <row r="17" spans="1:5" ht="18" x14ac:dyDescent="0.2">
      <c r="A17" s="2" t="str">
        <f>'На неделю'!F2</f>
        <v>149</v>
      </c>
      <c r="B17" s="2" t="str">
        <f>'На неделю'!G2</f>
        <v>150</v>
      </c>
      <c r="C17" s="2" t="str">
        <f>'На неделю'!H2</f>
        <v>151</v>
      </c>
      <c r="D17" s="2" t="str">
        <f>'На неделю'!I2</f>
        <v>152</v>
      </c>
      <c r="E17" s="2" t="str">
        <f>'На неделю'!J2</f>
        <v>153</v>
      </c>
    </row>
    <row r="18" spans="1:5" s="56" customFormat="1" ht="12" x14ac:dyDescent="0.2">
      <c r="A18" s="70">
        <f>'На неделю'!F4</f>
        <v>0</v>
      </c>
      <c r="B18" s="70">
        <f>'На неделю'!G4</f>
        <v>0</v>
      </c>
      <c r="C18" s="70">
        <f>'На неделю'!H4</f>
        <v>0</v>
      </c>
      <c r="D18" s="70">
        <f>'На неделю'!I4</f>
        <v>0</v>
      </c>
      <c r="E18" s="70">
        <f>'На неделю'!J4</f>
        <v>0</v>
      </c>
    </row>
    <row r="19" spans="1:5" x14ac:dyDescent="0.2">
      <c r="A19" s="112">
        <f>'На неделю'!F5</f>
        <v>0</v>
      </c>
      <c r="B19" s="112">
        <f>'На неделю'!G5</f>
        <v>0</v>
      </c>
      <c r="C19" s="112">
        <f>'На неделю'!H5</f>
        <v>0</v>
      </c>
      <c r="D19" s="112">
        <f>'На неделю'!I5</f>
        <v>0</v>
      </c>
      <c r="E19" s="112">
        <f>'На неделю'!J5</f>
        <v>0</v>
      </c>
    </row>
    <row r="20" spans="1:5" x14ac:dyDescent="0.2">
      <c r="A20" s="10">
        <f>'На неделю'!F6</f>
        <v>0</v>
      </c>
      <c r="B20" s="10">
        <f>'На неделю'!G6</f>
        <v>0</v>
      </c>
      <c r="C20" s="10">
        <f>'На неделю'!H6</f>
        <v>0</v>
      </c>
      <c r="D20" s="10">
        <f>'На неделю'!I6</f>
        <v>0</v>
      </c>
      <c r="E20" s="10">
        <f>'На неделю'!J6</f>
        <v>0</v>
      </c>
    </row>
    <row r="21" spans="1:5" x14ac:dyDescent="0.2">
      <c r="A21" s="112">
        <f>'На неделю'!F7</f>
        <v>0</v>
      </c>
      <c r="B21" s="9">
        <f>'На неделю'!G7</f>
        <v>0</v>
      </c>
      <c r="C21" s="112">
        <f>'На неделю'!H7</f>
        <v>0</v>
      </c>
      <c r="D21" s="9">
        <f>'На неделю'!I7</f>
        <v>0</v>
      </c>
      <c r="E21" s="9">
        <f>'На неделю'!J7</f>
        <v>0</v>
      </c>
    </row>
    <row r="22" spans="1:5" x14ac:dyDescent="0.2">
      <c r="A22" s="10">
        <f>'На неделю'!F8</f>
        <v>0</v>
      </c>
      <c r="B22" s="10">
        <f>'На неделю'!G8</f>
        <v>0</v>
      </c>
      <c r="C22" s="10">
        <f>'На неделю'!H8</f>
        <v>0</v>
      </c>
      <c r="D22" s="10">
        <f>'На неделю'!I8</f>
        <v>0</v>
      </c>
      <c r="E22" s="10">
        <f>'На неделю'!J8</f>
        <v>0</v>
      </c>
    </row>
    <row r="23" spans="1:5" x14ac:dyDescent="0.2">
      <c r="A23" s="9">
        <f>'На неделю'!F9</f>
        <v>0</v>
      </c>
      <c r="B23" s="9">
        <f>'На неделю'!G9</f>
        <v>0</v>
      </c>
      <c r="C23" s="9">
        <f>'На неделю'!H9</f>
        <v>0</v>
      </c>
      <c r="D23" s="9">
        <f>'На неделю'!I9</f>
        <v>0</v>
      </c>
      <c r="E23" s="9">
        <f>'На неделю'!J9</f>
        <v>0</v>
      </c>
    </row>
    <row r="24" spans="1:5" x14ac:dyDescent="0.2">
      <c r="A24" s="10">
        <f>'На неделю'!F10</f>
        <v>0</v>
      </c>
      <c r="B24" s="10">
        <f>'На неделю'!G10</f>
        <v>0</v>
      </c>
      <c r="C24" s="10">
        <f>'На неделю'!H10</f>
        <v>0</v>
      </c>
      <c r="D24" s="10">
        <f>'На неделю'!I10</f>
        <v>0</v>
      </c>
      <c r="E24" s="10">
        <f>'На неделю'!J10</f>
        <v>0</v>
      </c>
    </row>
    <row r="25" spans="1:5" x14ac:dyDescent="0.2">
      <c r="A25" s="112">
        <f>'На неделю'!F11</f>
        <v>0</v>
      </c>
      <c r="B25" s="112">
        <f>'На неделю'!G11</f>
        <v>0</v>
      </c>
      <c r="C25" s="112">
        <f>'На неделю'!H11</f>
        <v>0</v>
      </c>
      <c r="D25" s="112">
        <f>'На неделю'!I11</f>
        <v>0</v>
      </c>
      <c r="E25" s="112">
        <f>'На неделю'!J11</f>
        <v>0</v>
      </c>
    </row>
    <row r="26" spans="1:5" x14ac:dyDescent="0.2">
      <c r="A26" s="10">
        <f>'На неделю'!F12</f>
        <v>0</v>
      </c>
      <c r="B26" s="10">
        <f>'На неделю'!G12</f>
        <v>0</v>
      </c>
      <c r="C26" s="10">
        <f>'На неделю'!H12</f>
        <v>0</v>
      </c>
      <c r="D26" s="10">
        <f>'На неделю'!I12</f>
        <v>0</v>
      </c>
      <c r="E26" s="10">
        <f>'На неделю'!J12</f>
        <v>0</v>
      </c>
    </row>
    <row r="27" spans="1:5" s="56" customFormat="1" ht="12" x14ac:dyDescent="0.2">
      <c r="A27" s="70">
        <f>'На неделю'!F13</f>
        <v>0</v>
      </c>
      <c r="B27" s="70">
        <f>'На неделю'!G13</f>
        <v>0</v>
      </c>
      <c r="C27" s="70">
        <f>'На неделю'!H13</f>
        <v>0</v>
      </c>
      <c r="D27" s="70">
        <f>'На неделю'!I13</f>
        <v>0</v>
      </c>
      <c r="E27" s="70">
        <f>'На неделю'!J13</f>
        <v>0</v>
      </c>
    </row>
    <row r="28" spans="1:5" s="57" customFormat="1" ht="12" x14ac:dyDescent="0.2">
      <c r="A28" s="69">
        <f>'На неделю'!F14</f>
        <v>0</v>
      </c>
      <c r="B28" s="69">
        <f>'На неделю'!G14</f>
        <v>0</v>
      </c>
      <c r="C28" s="69">
        <f>'На неделю'!H14</f>
        <v>0</v>
      </c>
      <c r="D28" s="69">
        <f>'На неделю'!I14</f>
        <v>0</v>
      </c>
      <c r="E28" s="69">
        <f>'На неделю'!J14</f>
        <v>0</v>
      </c>
    </row>
    <row r="30" spans="1:5" ht="18" x14ac:dyDescent="0.2">
      <c r="A30" s="2" t="str">
        <f>'На неделю'!K2</f>
        <v>154</v>
      </c>
      <c r="B30" s="2" t="str">
        <f>'На неделю'!L2</f>
        <v>155</v>
      </c>
      <c r="C30" s="2" t="str">
        <f>'На неделю'!M2</f>
        <v>156</v>
      </c>
      <c r="D30" s="2" t="str">
        <f>'На неделю'!N2</f>
        <v>157</v>
      </c>
      <c r="E30" s="2" t="str">
        <f>'На неделю'!O2</f>
        <v>158</v>
      </c>
    </row>
    <row r="31" spans="1:5" s="56" customFormat="1" ht="12" x14ac:dyDescent="0.2">
      <c r="A31" s="70">
        <f>'На неделю'!K4</f>
        <v>0</v>
      </c>
      <c r="B31" s="70">
        <f>'На неделю'!L4</f>
        <v>0</v>
      </c>
      <c r="C31" s="70">
        <f>'На неделю'!M4</f>
        <v>0</v>
      </c>
      <c r="D31" s="70">
        <f>'На неделю'!N4</f>
        <v>0</v>
      </c>
      <c r="E31" s="70">
        <f>'На неделю'!O4</f>
        <v>0</v>
      </c>
    </row>
    <row r="32" spans="1:5" x14ac:dyDescent="0.2">
      <c r="A32" s="112">
        <f>'На неделю'!K5</f>
        <v>0</v>
      </c>
      <c r="B32" s="112">
        <f>'На неделю'!L5</f>
        <v>0</v>
      </c>
      <c r="C32" s="112">
        <f>'На неделю'!M5</f>
        <v>0</v>
      </c>
      <c r="D32" s="112">
        <f>'На неделю'!N5</f>
        <v>0</v>
      </c>
      <c r="E32" s="112">
        <f>'На неделю'!O5</f>
        <v>0</v>
      </c>
    </row>
    <row r="33" spans="1:5" x14ac:dyDescent="0.2">
      <c r="A33" s="10">
        <f>'На неделю'!K6</f>
        <v>0</v>
      </c>
      <c r="B33" s="10">
        <f>'На неделю'!L6</f>
        <v>0</v>
      </c>
      <c r="C33" s="10">
        <f>'На неделю'!M6</f>
        <v>0</v>
      </c>
      <c r="D33" s="10">
        <f>'На неделю'!N6</f>
        <v>0</v>
      </c>
      <c r="E33" s="10">
        <f>'На неделю'!O6</f>
        <v>0</v>
      </c>
    </row>
    <row r="34" spans="1:5" x14ac:dyDescent="0.2">
      <c r="A34" s="9">
        <f>'На неделю'!K7</f>
        <v>0</v>
      </c>
      <c r="B34" s="9">
        <f>'На неделю'!L7</f>
        <v>0</v>
      </c>
      <c r="C34" s="9">
        <f>'На неделю'!M7</f>
        <v>0</v>
      </c>
      <c r="D34" s="9">
        <f>'На неделю'!N7</f>
        <v>0</v>
      </c>
      <c r="E34" s="9">
        <f>'На неделю'!O7</f>
        <v>0</v>
      </c>
    </row>
    <row r="35" spans="1:5" x14ac:dyDescent="0.2">
      <c r="A35" s="10">
        <f>'На неделю'!K8</f>
        <v>0</v>
      </c>
      <c r="B35" s="10">
        <f>'На неделю'!L8</f>
        <v>0</v>
      </c>
      <c r="C35" s="10">
        <f>'На неделю'!M8</f>
        <v>0</v>
      </c>
      <c r="D35" s="10">
        <f>'На неделю'!N8</f>
        <v>0</v>
      </c>
      <c r="E35" s="10">
        <f>'На неделю'!O8</f>
        <v>0</v>
      </c>
    </row>
    <row r="36" spans="1:5" x14ac:dyDescent="0.2">
      <c r="A36" s="9">
        <f>'На неделю'!K9</f>
        <v>0</v>
      </c>
      <c r="B36" s="9">
        <f>'На неделю'!L9</f>
        <v>0</v>
      </c>
      <c r="C36" s="9">
        <f>'На неделю'!M9</f>
        <v>0</v>
      </c>
      <c r="D36" s="9">
        <f>'На неделю'!N9</f>
        <v>0</v>
      </c>
      <c r="E36" s="9">
        <f>'На неделю'!O9</f>
        <v>0</v>
      </c>
    </row>
    <row r="37" spans="1:5" x14ac:dyDescent="0.2">
      <c r="A37" s="10">
        <f>'На неделю'!K10</f>
        <v>0</v>
      </c>
      <c r="B37" s="10">
        <f>'На неделю'!L10</f>
        <v>0</v>
      </c>
      <c r="C37" s="10">
        <f>'На неделю'!M10</f>
        <v>0</v>
      </c>
      <c r="D37" s="10">
        <f>'На неделю'!N10</f>
        <v>0</v>
      </c>
      <c r="E37" s="10">
        <f>'На неделю'!O10</f>
        <v>0</v>
      </c>
    </row>
    <row r="38" spans="1:5" x14ac:dyDescent="0.2">
      <c r="A38" s="112">
        <f>'На неделю'!K11</f>
        <v>0</v>
      </c>
      <c r="B38" s="112">
        <f>'На неделю'!L11</f>
        <v>0</v>
      </c>
      <c r="C38" s="112">
        <f>'На неделю'!M11</f>
        <v>0</v>
      </c>
      <c r="D38" s="112">
        <f>'На неделю'!N11</f>
        <v>0</v>
      </c>
      <c r="E38" s="112">
        <f>'На неделю'!O11</f>
        <v>0</v>
      </c>
    </row>
    <row r="39" spans="1:5" x14ac:dyDescent="0.2">
      <c r="A39" s="10">
        <f>'На неделю'!K12</f>
        <v>0</v>
      </c>
      <c r="B39" s="10">
        <f>'На неделю'!L12</f>
        <v>0</v>
      </c>
      <c r="C39" s="10">
        <f>'На неделю'!M12</f>
        <v>0</v>
      </c>
      <c r="D39" s="10">
        <f>'На неделю'!N12</f>
        <v>0</v>
      </c>
      <c r="E39" s="10">
        <f>'На неделю'!O12</f>
        <v>0</v>
      </c>
    </row>
    <row r="40" spans="1:5" s="56" customFormat="1" ht="12" x14ac:dyDescent="0.2">
      <c r="A40" s="70">
        <f>'На неделю'!K13</f>
        <v>0</v>
      </c>
      <c r="B40" s="70">
        <f>'На неделю'!L13</f>
        <v>0</v>
      </c>
      <c r="C40" s="70">
        <f>'На неделю'!M13</f>
        <v>0</v>
      </c>
      <c r="D40" s="70">
        <f>'На неделю'!N13</f>
        <v>0</v>
      </c>
      <c r="E40" s="70">
        <f>'На неделю'!O13</f>
        <v>0</v>
      </c>
    </row>
    <row r="41" spans="1:5" s="57" customFormat="1" ht="12" x14ac:dyDescent="0.2">
      <c r="A41" s="69">
        <f>'На неделю'!K14</f>
        <v>0</v>
      </c>
      <c r="B41" s="69">
        <f>'На неделю'!L14</f>
        <v>0</v>
      </c>
      <c r="C41" s="69">
        <f>'На неделю'!M14</f>
        <v>0</v>
      </c>
      <c r="D41" s="69">
        <f>'На неделю'!N14</f>
        <v>0</v>
      </c>
      <c r="E41" s="69">
        <f>'На неделю'!O14</f>
        <v>0</v>
      </c>
    </row>
    <row r="43" spans="1:5" ht="18" x14ac:dyDescent="0.2">
      <c r="A43" s="2" t="str">
        <f>'На неделю'!P2</f>
        <v>159</v>
      </c>
      <c r="B43" s="65" t="str">
        <f>'На неделю'!Q2</f>
        <v>160</v>
      </c>
      <c r="C43" s="65" t="str">
        <f>Вторник!C43</f>
        <v>161</v>
      </c>
      <c r="D43" s="146" t="s">
        <v>60</v>
      </c>
      <c r="E43" s="147"/>
    </row>
    <row r="44" spans="1:5" s="56" customFormat="1" x14ac:dyDescent="0.2">
      <c r="A44" s="70">
        <f>'На неделю'!P4</f>
        <v>0</v>
      </c>
      <c r="B44" s="70">
        <f>'На неделю'!R4</f>
        <v>0</v>
      </c>
      <c r="C44" s="70">
        <f>'На неделю'!S4</f>
        <v>0</v>
      </c>
      <c r="D44" s="134" t="s">
        <v>69</v>
      </c>
      <c r="E44" s="135"/>
    </row>
    <row r="45" spans="1:5" x14ac:dyDescent="0.2">
      <c r="A45" s="112">
        <f>'На неделю'!P5</f>
        <v>0</v>
      </c>
      <c r="B45" s="112">
        <f>'На неделю'!R5</f>
        <v>0</v>
      </c>
      <c r="C45" s="9">
        <f>'На неделю'!S5</f>
        <v>0</v>
      </c>
      <c r="D45" s="134" t="s">
        <v>61</v>
      </c>
      <c r="E45" s="135"/>
    </row>
    <row r="46" spans="1:5" x14ac:dyDescent="0.2">
      <c r="A46" s="10">
        <f>'На неделю'!P6</f>
        <v>0</v>
      </c>
      <c r="B46" s="10">
        <f>'На неделю'!R6</f>
        <v>0</v>
      </c>
      <c r="C46" s="10">
        <f>'На неделю'!S6</f>
        <v>0</v>
      </c>
      <c r="D46" s="134" t="s">
        <v>62</v>
      </c>
      <c r="E46" s="135"/>
    </row>
    <row r="47" spans="1:5" x14ac:dyDescent="0.2">
      <c r="A47" s="9">
        <f>'На неделю'!P7</f>
        <v>0</v>
      </c>
      <c r="B47" s="9">
        <f>'На неделю'!R7</f>
        <v>0</v>
      </c>
      <c r="C47" s="9">
        <f>'На неделю'!S7</f>
        <v>0</v>
      </c>
      <c r="D47" s="134" t="s">
        <v>63</v>
      </c>
      <c r="E47" s="135"/>
    </row>
    <row r="48" spans="1:5" x14ac:dyDescent="0.2">
      <c r="A48" s="10">
        <f>'На неделю'!P8</f>
        <v>0</v>
      </c>
      <c r="B48" s="10">
        <f>'На неделю'!R8</f>
        <v>0</v>
      </c>
      <c r="C48" s="10">
        <f>'На неделю'!S8</f>
        <v>0</v>
      </c>
      <c r="D48" s="134" t="s">
        <v>64</v>
      </c>
      <c r="E48" s="135"/>
    </row>
    <row r="49" spans="1:5" x14ac:dyDescent="0.2">
      <c r="A49" s="9">
        <f>'На неделю'!P9</f>
        <v>0</v>
      </c>
      <c r="B49" s="9">
        <f>'На неделю'!R9</f>
        <v>0</v>
      </c>
      <c r="C49" s="112">
        <f>'На неделю'!S9</f>
        <v>0</v>
      </c>
      <c r="D49" s="134" t="s">
        <v>65</v>
      </c>
      <c r="E49" s="135"/>
    </row>
    <row r="50" spans="1:5" x14ac:dyDescent="0.2">
      <c r="A50" s="10">
        <f>'На неделю'!P10</f>
        <v>0</v>
      </c>
      <c r="B50" s="10">
        <f>'На неделю'!R10</f>
        <v>0</v>
      </c>
      <c r="C50" s="10">
        <f>'На неделю'!S10</f>
        <v>0</v>
      </c>
      <c r="D50" s="134" t="s">
        <v>66</v>
      </c>
      <c r="E50" s="135"/>
    </row>
    <row r="51" spans="1:5" x14ac:dyDescent="0.2">
      <c r="A51" s="112">
        <f>'На неделю'!P11</f>
        <v>0</v>
      </c>
      <c r="B51" s="112">
        <f>'На неделю'!R11</f>
        <v>0</v>
      </c>
      <c r="C51" s="112">
        <f>'На неделю'!S11</f>
        <v>0</v>
      </c>
      <c r="D51" s="134" t="s">
        <v>67</v>
      </c>
      <c r="E51" s="135"/>
    </row>
    <row r="52" spans="1:5" x14ac:dyDescent="0.2">
      <c r="A52" s="10">
        <f>'На неделю'!P12</f>
        <v>0</v>
      </c>
      <c r="B52" s="10">
        <f>'На неделю'!R12</f>
        <v>0</v>
      </c>
      <c r="C52" s="10">
        <f>'На неделю'!S12</f>
        <v>0</v>
      </c>
      <c r="D52" s="134" t="s">
        <v>68</v>
      </c>
      <c r="E52" s="135"/>
    </row>
    <row r="53" spans="1:5" s="56" customFormat="1" ht="12.75" customHeight="1" x14ac:dyDescent="0.2">
      <c r="A53" s="70">
        <f>'На неделю'!P13</f>
        <v>0</v>
      </c>
      <c r="B53" s="70">
        <f>'На неделю'!R13</f>
        <v>0</v>
      </c>
      <c r="C53" s="81" t="str">
        <f>'На неделю'!S13</f>
        <v xml:space="preserve">                                      </v>
      </c>
      <c r="D53" s="163">
        <f>'На неделю'!U37</f>
        <v>0</v>
      </c>
      <c r="E53" s="164"/>
    </row>
    <row r="54" spans="1:5" s="57" customFormat="1" ht="12" x14ac:dyDescent="0.2">
      <c r="A54" s="69">
        <f>'На неделю'!P14</f>
        <v>0</v>
      </c>
      <c r="B54" s="69">
        <f>'На неделю'!R14</f>
        <v>0</v>
      </c>
      <c r="C54" s="82">
        <f>'На неделю'!S14</f>
        <v>0</v>
      </c>
      <c r="D54" s="165"/>
      <c r="E54" s="166"/>
    </row>
    <row r="58" spans="1:5" x14ac:dyDescent="0.2">
      <c r="C58" t="s">
        <v>41</v>
      </c>
      <c r="D58" t="s">
        <v>153</v>
      </c>
    </row>
  </sheetData>
  <mergeCells count="14">
    <mergeCell ref="D50:E50"/>
    <mergeCell ref="D51:E51"/>
    <mergeCell ref="D52:E52"/>
    <mergeCell ref="D53:E54"/>
    <mergeCell ref="A1:E1"/>
    <mergeCell ref="A3:E3"/>
    <mergeCell ref="A2:E2"/>
    <mergeCell ref="D44:E44"/>
    <mergeCell ref="D45:E45"/>
    <mergeCell ref="D46:E46"/>
    <mergeCell ref="D43:E43"/>
    <mergeCell ref="D47:E47"/>
    <mergeCell ref="D48:E48"/>
    <mergeCell ref="D49:E49"/>
  </mergeCells>
  <phoneticPr fontId="18" type="noConversion"/>
  <conditionalFormatting sqref="A1:XFD42 A43:C54 F43:IV54 A55:XFD58">
    <cfRule type="cellIs" dxfId="15" priority="16" stopIfTrue="1" operator="equal">
      <formula>0</formula>
    </cfRule>
  </conditionalFormatting>
  <conditionalFormatting sqref="D44:D52">
    <cfRule type="expression" dxfId="14" priority="1" stopIfTrue="1">
      <formula>COUNTIF($A44:$P44,D44)&gt;1</formula>
    </cfRule>
  </conditionalFormatting>
  <conditionalFormatting sqref="D53">
    <cfRule type="cellIs" dxfId="13" priority="15" stopIfTrue="1" operator="equal">
      <formula>0</formula>
    </cfRule>
  </conditionalFormatting>
  <pageMargins left="0" right="0" top="0" bottom="0" header="0" footer="0"/>
  <pageSetup paperSize="9" scale="9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95DD-B38E-48F5-B49D-B2C7B9F9CE77}">
  <sheetPr codeName="Лист6"/>
  <dimension ref="A1:F58"/>
  <sheetViews>
    <sheetView showGridLines="0" showZeros="0" tabSelected="1" view="pageBreakPreview" zoomScaleNormal="100" workbookViewId="0">
      <selection activeCell="E38" sqref="E38"/>
    </sheetView>
  </sheetViews>
  <sheetFormatPr defaultRowHeight="12.75" x14ac:dyDescent="0.2"/>
  <cols>
    <col min="1" max="5" width="20.7109375" customWidth="1"/>
    <col min="6" max="6" width="9.140625" customWidth="1"/>
  </cols>
  <sheetData>
    <row r="1" spans="1:6" ht="20.25" x14ac:dyDescent="0.3">
      <c r="A1" s="167" t="s">
        <v>6</v>
      </c>
      <c r="B1" s="167"/>
      <c r="C1" s="167"/>
      <c r="D1" s="167"/>
      <c r="E1" s="167"/>
    </row>
    <row r="2" spans="1:6" ht="20.25" x14ac:dyDescent="0.3">
      <c r="A2" s="167" t="s">
        <v>1</v>
      </c>
      <c r="B2" s="167"/>
      <c r="C2" s="167"/>
      <c r="D2" s="167"/>
      <c r="E2" s="167"/>
    </row>
    <row r="3" spans="1:6" ht="20.25" x14ac:dyDescent="0.3">
      <c r="A3" s="168">
        <f>Понедельник!A3+1</f>
        <v>46267</v>
      </c>
      <c r="B3" s="168"/>
      <c r="C3" s="168"/>
      <c r="D3" s="168"/>
      <c r="E3" s="168"/>
    </row>
    <row r="4" spans="1:6" ht="18" x14ac:dyDescent="0.2">
      <c r="A4" s="2" t="str">
        <f>'На неделю'!A2</f>
        <v>144</v>
      </c>
      <c r="B4" s="2" t="str">
        <f>'На неделю'!B2</f>
        <v>145</v>
      </c>
      <c r="C4" s="2" t="str">
        <f>'На неделю'!C2</f>
        <v>146</v>
      </c>
      <c r="D4" s="2" t="str">
        <f>'На неделю'!D2</f>
        <v>147</v>
      </c>
      <c r="E4" s="2" t="str">
        <f>'На неделю'!E2</f>
        <v>148</v>
      </c>
    </row>
    <row r="5" spans="1:6" s="57" customFormat="1" ht="12" x14ac:dyDescent="0.2">
      <c r="A5" s="69">
        <f>'На неделю'!A16</f>
        <v>0</v>
      </c>
      <c r="B5" s="69">
        <f>'На неделю'!B16</f>
        <v>0</v>
      </c>
      <c r="C5" s="69">
        <f>'На неделю'!C16</f>
        <v>0</v>
      </c>
      <c r="D5" s="69">
        <f>'На неделю'!D16</f>
        <v>0</v>
      </c>
      <c r="E5" s="69">
        <f>'На неделю'!E16</f>
        <v>0</v>
      </c>
    </row>
    <row r="6" spans="1:6" x14ac:dyDescent="0.2">
      <c r="A6" s="63" t="str">
        <f>'На неделю'!A17</f>
        <v>Линейка</v>
      </c>
      <c r="B6" s="63" t="str">
        <f>'На неделю'!B17</f>
        <v>Линейка</v>
      </c>
      <c r="C6" s="63" t="str">
        <f>'На неделю'!C17</f>
        <v>Линейка</v>
      </c>
      <c r="D6" s="63" t="str">
        <f>'На неделю'!D17</f>
        <v>Линейка</v>
      </c>
      <c r="E6" s="63" t="str">
        <f>'На неделю'!E17</f>
        <v>Линейка</v>
      </c>
    </row>
    <row r="7" spans="1:6" s="55" customFormat="1" x14ac:dyDescent="0.2">
      <c r="A7" s="10" t="str">
        <f>'На неделю'!A18</f>
        <v xml:space="preserve"> Курат. Час (библ.)</v>
      </c>
      <c r="B7" s="10" t="str">
        <f>'На неделю'!B18</f>
        <v>Курат. Час 44.</v>
      </c>
      <c r="C7" s="10" t="str">
        <f>'На неделю'!C18</f>
        <v>Курат. Час 53</v>
      </c>
      <c r="D7" s="10" t="str">
        <f>'На неделю'!D18</f>
        <v>Курат. Час 22</v>
      </c>
      <c r="E7" s="10" t="str">
        <f>'На неделю'!E18</f>
        <v>Курат. Час 34</v>
      </c>
      <c r="F7"/>
    </row>
    <row r="8" spans="1:6" x14ac:dyDescent="0.2">
      <c r="A8" s="63" t="str">
        <f>'На неделю'!A19</f>
        <v>ТО и Р ТС 53</v>
      </c>
      <c r="B8" s="63" t="str">
        <f>'На неделю'!B19</f>
        <v>Устройство авто 54</v>
      </c>
      <c r="C8" s="123" t="str">
        <f>'На неделю'!C19</f>
        <v>Маш. и обор. живот. 51</v>
      </c>
      <c r="D8" s="63" t="str">
        <f>'На неделю'!D19</f>
        <v>Калькул. и уч 14</v>
      </c>
      <c r="E8" s="9">
        <f>'На неделю'!E19</f>
        <v>0</v>
      </c>
    </row>
    <row r="9" spans="1:6" s="55" customFormat="1" x14ac:dyDescent="0.2">
      <c r="A9" s="10" t="str">
        <f>'На неделю'!A20</f>
        <v>Гордиевич Е.И.</v>
      </c>
      <c r="B9" s="10" t="str">
        <f>'На неделю'!B20</f>
        <v>Каминский Н.В.</v>
      </c>
      <c r="C9" s="122" t="str">
        <f>'На неделю'!C20</f>
        <v>Шумило Д.М.</v>
      </c>
      <c r="D9" s="10" t="str">
        <f>'На неделю'!D20</f>
        <v>Концевая Т.В.</v>
      </c>
      <c r="E9" s="10" t="str">
        <f>'На неделю'!E21</f>
        <v>П/О</v>
      </c>
      <c r="F9"/>
    </row>
    <row r="10" spans="1:6" x14ac:dyDescent="0.2">
      <c r="A10" s="63" t="str">
        <f>'На неделю'!A21</f>
        <v>Устройство авто 54</v>
      </c>
      <c r="B10" s="63" t="str">
        <f>'На неделю'!B21</f>
        <v>Маш. и обор. живот. 51</v>
      </c>
      <c r="C10" s="123" t="str">
        <f>'На неделю'!C21</f>
        <v>Физическая культ</v>
      </c>
      <c r="D10" s="63" t="str">
        <f>'На неделю'!D21</f>
        <v>Спецтехнология (К) 23</v>
      </c>
      <c r="E10" s="123">
        <f>'На неделю'!E22</f>
        <v>0</v>
      </c>
    </row>
    <row r="11" spans="1:6" s="55" customFormat="1" x14ac:dyDescent="0.2">
      <c r="A11" s="10" t="str">
        <f>'На неделю'!A22</f>
        <v>Каминский Н.В.</v>
      </c>
      <c r="B11" s="10" t="str">
        <f>'На неделю'!B22</f>
        <v>Шумило Д.М.</v>
      </c>
      <c r="C11" s="122" t="str">
        <f>'На неделю'!C22</f>
        <v>Козенков</v>
      </c>
      <c r="D11" s="10" t="str">
        <f>'На неделю'!D22</f>
        <v>Чекан Н.Н.</v>
      </c>
      <c r="E11" s="10">
        <f>'На неделю'!E22</f>
        <v>0</v>
      </c>
      <c r="F11"/>
    </row>
    <row r="12" spans="1:6" x14ac:dyDescent="0.2">
      <c r="A12" s="63">
        <f>'На неделю'!A23</f>
        <v>0</v>
      </c>
      <c r="B12" s="63" t="str">
        <f>'На неделю'!B23</f>
        <v>Устр. самоход. маш. 20</v>
      </c>
      <c r="C12" s="63" t="str">
        <f>'На неделю'!C23</f>
        <v>ТО и Р ТС 53</v>
      </c>
      <c r="D12" s="63">
        <f>'На неделю'!D23</f>
        <v>0</v>
      </c>
      <c r="E12" s="9">
        <f>'На неделю'!E23</f>
        <v>0</v>
      </c>
    </row>
    <row r="13" spans="1:6" s="55" customFormat="1" x14ac:dyDescent="0.2">
      <c r="A13" s="10">
        <f>'На неделю'!A24</f>
        <v>0</v>
      </c>
      <c r="B13" s="10" t="str">
        <f>'На неделю'!B24</f>
        <v>Шумило Д.М.</v>
      </c>
      <c r="C13" s="10" t="str">
        <f>'На неделю'!C24</f>
        <v>Гордиевич Е.И.</v>
      </c>
      <c r="D13" s="10">
        <f>'На неделю'!D24</f>
        <v>0</v>
      </c>
      <c r="E13" s="10">
        <f>'На неделю'!E24</f>
        <v>0</v>
      </c>
      <c r="F13"/>
    </row>
    <row r="14" spans="1:6" s="56" customFormat="1" ht="12" x14ac:dyDescent="0.2">
      <c r="A14" s="70">
        <f>'На неделю'!A25</f>
        <v>0</v>
      </c>
      <c r="B14" s="70">
        <f>'На неделю'!B25</f>
        <v>0</v>
      </c>
      <c r="C14" s="70">
        <f>'На неделю'!C25</f>
        <v>0</v>
      </c>
      <c r="D14" s="70">
        <f>'На неделю'!D25</f>
        <v>0</v>
      </c>
      <c r="E14" s="70">
        <f>'На неделю'!E25</f>
        <v>0</v>
      </c>
    </row>
    <row r="15" spans="1:6" s="57" customFormat="1" ht="12" x14ac:dyDescent="0.2">
      <c r="A15" s="69">
        <f>'На неделю'!A26</f>
        <v>0</v>
      </c>
      <c r="B15" s="69">
        <f>'На неделю'!B26</f>
        <v>0</v>
      </c>
      <c r="C15" s="69">
        <f>'На неделю'!C26</f>
        <v>0</v>
      </c>
      <c r="D15" s="69">
        <f>'На неделю'!D26</f>
        <v>0</v>
      </c>
      <c r="E15" s="69">
        <f>'На неделю'!E26</f>
        <v>0</v>
      </c>
    </row>
    <row r="17" spans="1:6" ht="18" x14ac:dyDescent="0.2">
      <c r="A17" s="2" t="str">
        <f>'На неделю'!F2</f>
        <v>149</v>
      </c>
      <c r="B17" s="2" t="str">
        <f>'На неделю'!G2</f>
        <v>150</v>
      </c>
      <c r="C17" s="2" t="str">
        <f>'На неделю'!H2</f>
        <v>151</v>
      </c>
      <c r="D17" s="2" t="str">
        <f>'На неделю'!I2</f>
        <v>152</v>
      </c>
      <c r="E17" s="2" t="str">
        <f>'На неделю'!J2</f>
        <v>153</v>
      </c>
    </row>
    <row r="18" spans="1:6" s="57" customFormat="1" ht="12" x14ac:dyDescent="0.2">
      <c r="A18" s="69">
        <f>'На неделю'!F16</f>
        <v>0</v>
      </c>
      <c r="B18" s="69">
        <f>'На неделю'!G16</f>
        <v>0</v>
      </c>
      <c r="C18" s="69">
        <f>'На неделю'!H16</f>
        <v>0</v>
      </c>
      <c r="D18" s="69">
        <f>'На неделю'!I16</f>
        <v>0</v>
      </c>
      <c r="E18" s="69">
        <f>'На неделю'!J16</f>
        <v>0</v>
      </c>
    </row>
    <row r="19" spans="1:6" x14ac:dyDescent="0.2">
      <c r="A19" s="63" t="str">
        <f>'На неделю'!F17</f>
        <v>Линейка</v>
      </c>
      <c r="B19" s="112" t="str">
        <f>'На неделю'!G17</f>
        <v>Линейка</v>
      </c>
      <c r="C19" s="63" t="str">
        <f>'На неделю'!H17</f>
        <v>Линейка</v>
      </c>
      <c r="D19" s="63" t="str">
        <f>'На неделю'!I17</f>
        <v>Линейка</v>
      </c>
      <c r="E19" s="9" t="str">
        <f>'На неделю'!J17</f>
        <v>Линейка</v>
      </c>
    </row>
    <row r="20" spans="1:6" s="55" customFormat="1" x14ac:dyDescent="0.2">
      <c r="A20" s="10" t="str">
        <f>'На неделю'!F18</f>
        <v>Курат. Час 51</v>
      </c>
      <c r="B20" s="10" t="str">
        <f>'На неделю'!G18</f>
        <v>Курат. Час 54</v>
      </c>
      <c r="C20" s="10" t="str">
        <f>'На неделю'!H18</f>
        <v>Курат. Час 21</v>
      </c>
      <c r="D20" s="10" t="str">
        <f>'На неделю'!I18</f>
        <v>Курат. Час 35</v>
      </c>
      <c r="E20" s="10" t="str">
        <f>'На неделю'!J18</f>
        <v>Курат. Час 13</v>
      </c>
      <c r="F20"/>
    </row>
    <row r="21" spans="1:6" x14ac:dyDescent="0.2">
      <c r="A21" s="9">
        <f>'На неделю'!F19</f>
        <v>0</v>
      </c>
      <c r="B21" s="63" t="str">
        <f>'На неделю'!G19</f>
        <v>Обществоведение 33</v>
      </c>
      <c r="C21" s="63" t="str">
        <f>'На неделю'!H19</f>
        <v>Пр.черчение 12</v>
      </c>
      <c r="D21" s="63" t="str">
        <f>'На неделю'!I19</f>
        <v>Бел.литература 35</v>
      </c>
      <c r="E21" s="63" t="str">
        <f>'На неделю'!J19</f>
        <v>Рисоване и лепка 11</v>
      </c>
    </row>
    <row r="22" spans="1:6" s="55" customFormat="1" x14ac:dyDescent="0.2">
      <c r="A22" s="10">
        <f>'На неделю'!F20</f>
        <v>0</v>
      </c>
      <c r="B22" s="10" t="str">
        <f>'На неделю'!G20</f>
        <v>Якшина О.А.</v>
      </c>
      <c r="C22" s="10" t="str">
        <f>'На неделю'!H20</f>
        <v>Цыбульская Е.А.</v>
      </c>
      <c r="D22" s="10" t="str">
        <f>'На неделю'!I20</f>
        <v>Черненкова И.А.</v>
      </c>
      <c r="E22" s="10" t="str">
        <f>'На неделю'!J20</f>
        <v>Ероха Е.В.</v>
      </c>
      <c r="F22"/>
    </row>
    <row r="23" spans="1:6" x14ac:dyDescent="0.2">
      <c r="A23" s="63" t="str">
        <f>'На неделю'!F21</f>
        <v>П/О</v>
      </c>
      <c r="B23" s="63" t="str">
        <f>'На неделю'!G21</f>
        <v>Охрана труда 12(Ц)</v>
      </c>
      <c r="C23" s="9" t="str">
        <f>'На неделю'!H21</f>
        <v xml:space="preserve">Устр-во тракторов 53 </v>
      </c>
      <c r="D23" s="9" t="str">
        <f>'На неделю'!I21</f>
        <v>Физическая культ. (Зен.)</v>
      </c>
      <c r="E23" s="63" t="str">
        <f>'На неделю'!J21</f>
        <v>История Беларуси 21</v>
      </c>
    </row>
    <row r="24" spans="1:6" s="55" customFormat="1" x14ac:dyDescent="0.2">
      <c r="A24" s="10">
        <f>'На неделю'!F22</f>
        <v>0</v>
      </c>
      <c r="B24" s="10" t="str">
        <f>'На неделю'!G22</f>
        <v>Физическая культ. (Ч)</v>
      </c>
      <c r="C24" s="10" t="str">
        <f>'На неделю'!H22</f>
        <v>Гордиевич Е.И.</v>
      </c>
      <c r="D24" s="10" t="str">
        <f>'На неделю'!I22</f>
        <v>Пр.черчение 12</v>
      </c>
      <c r="E24" s="10" t="str">
        <f>'На неделю'!J22</f>
        <v>Сушинская Н.В.</v>
      </c>
      <c r="F24"/>
    </row>
    <row r="25" spans="1:6" x14ac:dyDescent="0.2">
      <c r="A25" s="112">
        <f>'На неделю'!F23</f>
        <v>0</v>
      </c>
      <c r="B25" s="9">
        <f>'На неделю'!G23</f>
        <v>0</v>
      </c>
      <c r="C25" s="112">
        <f>'На неделю'!H23</f>
        <v>0</v>
      </c>
      <c r="D25" s="63">
        <f>'На неделю'!I23</f>
        <v>0</v>
      </c>
      <c r="E25" s="9">
        <f>'На неделю'!J23</f>
        <v>0</v>
      </c>
    </row>
    <row r="26" spans="1:6" x14ac:dyDescent="0.2">
      <c r="A26" s="10">
        <f>'На неделю'!F24</f>
        <v>0</v>
      </c>
      <c r="B26" s="10">
        <f>'На неделю'!G24</f>
        <v>0</v>
      </c>
      <c r="C26" s="63">
        <f>'На неделю'!H24</f>
        <v>0</v>
      </c>
      <c r="D26" s="63">
        <f>'На неделю'!I24</f>
        <v>0</v>
      </c>
      <c r="E26" s="10">
        <f>'На неделю'!J24</f>
        <v>0</v>
      </c>
    </row>
    <row r="27" spans="1:6" s="58" customFormat="1" ht="12" x14ac:dyDescent="0.2">
      <c r="A27" s="71">
        <f>'На неделю'!F25</f>
        <v>0</v>
      </c>
      <c r="B27" s="71">
        <f>'На неделю'!G25</f>
        <v>0</v>
      </c>
      <c r="C27" s="71">
        <f>'На неделю'!H25</f>
        <v>0</v>
      </c>
      <c r="D27" s="71">
        <f>'На неделю'!I25</f>
        <v>0</v>
      </c>
      <c r="E27" s="71">
        <f>'На неделю'!J25</f>
        <v>0</v>
      </c>
    </row>
    <row r="28" spans="1:6" s="57" customFormat="1" ht="12" x14ac:dyDescent="0.2">
      <c r="A28" s="69">
        <f>'На неделю'!F26</f>
        <v>0</v>
      </c>
      <c r="B28" s="69">
        <f>'На неделю'!G26</f>
        <v>0</v>
      </c>
      <c r="C28" s="69">
        <f>'На неделю'!H26</f>
        <v>0</v>
      </c>
      <c r="D28" s="69">
        <f>'На неделю'!I26</f>
        <v>0</v>
      </c>
      <c r="E28" s="69">
        <f>'На неделю'!J26</f>
        <v>0</v>
      </c>
    </row>
    <row r="30" spans="1:6" ht="18" x14ac:dyDescent="0.2">
      <c r="A30" s="59" t="str">
        <f>'На неделю'!K2</f>
        <v>154</v>
      </c>
      <c r="B30" s="59" t="str">
        <f>'На неделю'!L2</f>
        <v>155</v>
      </c>
      <c r="C30" s="59" t="str">
        <f>'На неделю'!M2</f>
        <v>156</v>
      </c>
      <c r="D30" s="59" t="str">
        <f>'На неделю'!N2</f>
        <v>157</v>
      </c>
      <c r="E30" s="59" t="str">
        <f>'На неделю'!O2</f>
        <v>158</v>
      </c>
    </row>
    <row r="31" spans="1:6" s="60" customFormat="1" ht="12" x14ac:dyDescent="0.2">
      <c r="A31" s="72">
        <f>'На неделю'!K16</f>
        <v>0</v>
      </c>
      <c r="B31" s="72">
        <f>'На неделю'!L16</f>
        <v>0</v>
      </c>
      <c r="C31" s="72">
        <f>'На неделю'!M16</f>
        <v>0</v>
      </c>
      <c r="D31" s="72">
        <f>'На неделю'!N16</f>
        <v>0</v>
      </c>
      <c r="E31" s="72">
        <f>'На неделю'!O16</f>
        <v>0</v>
      </c>
    </row>
    <row r="32" spans="1:6" x14ac:dyDescent="0.2">
      <c r="A32" s="9" t="str">
        <f>'На неделю'!K17</f>
        <v>Линейка</v>
      </c>
      <c r="B32" s="112" t="str">
        <f>'На неделю'!L17</f>
        <v>Линейка</v>
      </c>
      <c r="C32" s="9" t="str">
        <f>'На неделю'!M17</f>
        <v>Линейка</v>
      </c>
      <c r="D32" s="9" t="str">
        <f>'На неделю'!N17</f>
        <v>Линейка</v>
      </c>
      <c r="E32" s="9" t="str">
        <f>'На неделю'!O17</f>
        <v>Линейка</v>
      </c>
    </row>
    <row r="33" spans="1:6" s="55" customFormat="1" x14ac:dyDescent="0.2">
      <c r="A33" s="10" t="str">
        <f>'На неделю'!K18</f>
        <v>Курат. Час 45</v>
      </c>
      <c r="B33" s="10" t="str">
        <f>'На неделю'!L18</f>
        <v>Курат. Час 12</v>
      </c>
      <c r="C33" s="10" t="str">
        <f>'На неделю'!M18</f>
        <v>Курат. Час 33</v>
      </c>
      <c r="D33" s="10" t="str">
        <f>'На неделю'!N18</f>
        <v>(25) Курат. Час</v>
      </c>
      <c r="E33" s="10" t="str">
        <f>'На неделю'!O18</f>
        <v>Курат. Час 31</v>
      </c>
      <c r="F33"/>
    </row>
    <row r="34" spans="1:6" x14ac:dyDescent="0.2">
      <c r="A34" s="9" t="str">
        <f>'На неделю'!K19</f>
        <v>История Беларуси 21</v>
      </c>
      <c r="B34" s="9" t="str">
        <f>'На неделю'!L19</f>
        <v>Торг. оборудование 24</v>
      </c>
      <c r="C34" s="112" t="str">
        <f>'На неделю'!M19</f>
        <v>Математика 41</v>
      </c>
      <c r="D34" s="9" t="str">
        <f>'На неделю'!N19</f>
        <v>Допр. Подготовка 25</v>
      </c>
      <c r="E34" s="9" t="str">
        <f>'На неделю'!O19</f>
        <v>Русск. Лит 34</v>
      </c>
    </row>
    <row r="35" spans="1:6" s="55" customFormat="1" x14ac:dyDescent="0.2">
      <c r="A35" s="10" t="str">
        <f>'На неделю'!K20</f>
        <v>Сушинская Н.В.</v>
      </c>
      <c r="B35" s="10" t="str">
        <f>'На неделю'!L20</f>
        <v>Осипова Н.А.</v>
      </c>
      <c r="C35" s="10" t="str">
        <f>'На неделю'!M20</f>
        <v xml:space="preserve">Артеменко А.А. </v>
      </c>
      <c r="D35" s="10" t="str">
        <f>'На неделю'!N20</f>
        <v>Смирнов А.Н.</v>
      </c>
      <c r="E35" s="10" t="str">
        <f>'На неделю'!O20</f>
        <v>Исакова Н.К.</v>
      </c>
      <c r="F35"/>
    </row>
    <row r="36" spans="1:6" x14ac:dyDescent="0.2">
      <c r="A36" s="9" t="str">
        <f>'На неделю'!K21</f>
        <v>Обществоведение 33</v>
      </c>
      <c r="B36" s="9" t="str">
        <f>'На неделю'!L21</f>
        <v xml:space="preserve">Химия 44 </v>
      </c>
      <c r="C36" s="9" t="str">
        <f>'На неделю'!M21</f>
        <v>Допр. Подготовка 25</v>
      </c>
      <c r="D36" s="9" t="str">
        <f>'На неделю'!N21</f>
        <v>Физика 41</v>
      </c>
      <c r="E36" s="121" t="str">
        <f>'На неделю'!O21</f>
        <v>Математика 45</v>
      </c>
    </row>
    <row r="37" spans="1:6" s="55" customFormat="1" x14ac:dyDescent="0.2">
      <c r="A37" s="10" t="str">
        <f>'На неделю'!K22</f>
        <v>Якшина О.А.</v>
      </c>
      <c r="B37" s="10" t="str">
        <f>'На неделю'!L22</f>
        <v>Федорцова А.Т.</v>
      </c>
      <c r="C37" s="10" t="str">
        <f>'На неделю'!M22</f>
        <v>Смирнов А.Н.</v>
      </c>
      <c r="D37" s="10" t="str">
        <f>'На неделю'!N22</f>
        <v xml:space="preserve">Артеменко А.А. </v>
      </c>
      <c r="E37" s="122" t="str">
        <f>'На неделю'!O22</f>
        <v>Гончарова Ю.А.</v>
      </c>
      <c r="F37"/>
    </row>
    <row r="38" spans="1:6" x14ac:dyDescent="0.2">
      <c r="A38" s="9">
        <f>'На неделю'!K23</f>
        <v>0</v>
      </c>
      <c r="B38" s="9">
        <f>'На неделю'!L23</f>
        <v>0</v>
      </c>
      <c r="C38" s="9">
        <f>'На неделю'!M23</f>
        <v>0</v>
      </c>
      <c r="D38" s="112" t="str">
        <f>'На неделю'!O21</f>
        <v>Математика 45</v>
      </c>
      <c r="E38" s="9" t="str">
        <f>'На неделю'!O23</f>
        <v>Физическая культ. (С)</v>
      </c>
    </row>
    <row r="39" spans="1:6" x14ac:dyDescent="0.2">
      <c r="A39" s="10">
        <f>'На неделю'!K24</f>
        <v>0</v>
      </c>
      <c r="B39" s="10">
        <f>'На неделю'!L24</f>
        <v>0</v>
      </c>
      <c r="C39" s="10">
        <f>'На неделю'!M24</f>
        <v>0</v>
      </c>
      <c r="D39" s="63" t="str">
        <f>'На неделю'!O22</f>
        <v>Гончарова Ю.А.</v>
      </c>
      <c r="E39" s="10">
        <f>'На неделю'!O24</f>
        <v>0</v>
      </c>
    </row>
    <row r="40" spans="1:6" s="58" customFormat="1" ht="12" x14ac:dyDescent="0.2">
      <c r="A40" s="71">
        <f>'На неделю'!K25</f>
        <v>0</v>
      </c>
      <c r="B40" s="71">
        <f>'На неделю'!L25</f>
        <v>0</v>
      </c>
      <c r="C40" s="71">
        <f>'На неделю'!M25</f>
        <v>0</v>
      </c>
      <c r="D40" s="71">
        <f>'На неделю'!N25</f>
        <v>0</v>
      </c>
      <c r="E40" s="71">
        <f>'На неделю'!O25</f>
        <v>0</v>
      </c>
    </row>
    <row r="41" spans="1:6" s="57" customFormat="1" ht="12" x14ac:dyDescent="0.2">
      <c r="A41" s="69">
        <f>'На неделю'!K26</f>
        <v>0</v>
      </c>
      <c r="B41" s="69">
        <f>'На неделю'!L26</f>
        <v>0</v>
      </c>
      <c r="C41" s="69">
        <f>'На неделю'!M26</f>
        <v>0</v>
      </c>
      <c r="D41" s="69">
        <f>'На неделю'!N26</f>
        <v>0</v>
      </c>
      <c r="E41" s="69">
        <f>'На неделю'!O26</f>
        <v>0</v>
      </c>
    </row>
    <row r="43" spans="1:6" ht="18" x14ac:dyDescent="0.2">
      <c r="A43" s="59" t="str">
        <f>'На неделю'!P2</f>
        <v>159</v>
      </c>
      <c r="B43" s="120" t="str">
        <f>'На неделю'!Q2</f>
        <v>160</v>
      </c>
      <c r="C43" s="120" t="str">
        <f>'На неделю'!R2</f>
        <v>161</v>
      </c>
      <c r="D43" s="146" t="s">
        <v>60</v>
      </c>
      <c r="E43" s="147"/>
    </row>
    <row r="44" spans="1:6" s="60" customFormat="1" x14ac:dyDescent="0.2">
      <c r="A44" s="72">
        <f>'На неделю'!P16</f>
        <v>0</v>
      </c>
      <c r="B44" s="85">
        <f>'На неделю'!Q16</f>
        <v>0</v>
      </c>
      <c r="C44" s="85">
        <f>'На неделю'!R16</f>
        <v>0</v>
      </c>
      <c r="D44" s="134" t="s">
        <v>69</v>
      </c>
      <c r="E44" s="135"/>
    </row>
    <row r="45" spans="1:6" x14ac:dyDescent="0.2">
      <c r="A45" s="9" t="str">
        <f>'На неделю'!P17</f>
        <v>Линейка</v>
      </c>
      <c r="B45" s="121" t="str">
        <f>'На неделю'!Q17</f>
        <v>Линейка</v>
      </c>
      <c r="C45" s="121" t="str">
        <f>'На неделю'!R17</f>
        <v>Линейка</v>
      </c>
      <c r="D45" s="134" t="s">
        <v>61</v>
      </c>
      <c r="E45" s="135"/>
    </row>
    <row r="46" spans="1:6" s="55" customFormat="1" x14ac:dyDescent="0.2">
      <c r="A46" s="10" t="str">
        <f>'На неделю'!P18</f>
        <v>Курат. Час 41</v>
      </c>
      <c r="B46" s="122" t="str">
        <f>'На неделю'!Q18</f>
        <v xml:space="preserve">Курат. Час 14 </v>
      </c>
      <c r="C46" s="122" t="str">
        <f>'На неделю'!R18</f>
        <v>Курат. Час 24</v>
      </c>
      <c r="D46" s="134" t="s">
        <v>62</v>
      </c>
      <c r="E46" s="135"/>
      <c r="F46"/>
    </row>
    <row r="47" spans="1:6" x14ac:dyDescent="0.2">
      <c r="A47" s="9" t="str">
        <f>'На неделю'!P19</f>
        <v>Математика 45</v>
      </c>
      <c r="B47" s="121" t="str">
        <f>'На неделю'!Q19</f>
        <v>Химия44</v>
      </c>
      <c r="C47" s="121" t="str">
        <f>'На неделю'!R19</f>
        <v xml:space="preserve">Биология 32 </v>
      </c>
      <c r="D47" s="134" t="s">
        <v>63</v>
      </c>
      <c r="E47" s="135"/>
    </row>
    <row r="48" spans="1:6" s="55" customFormat="1" x14ac:dyDescent="0.2">
      <c r="A48" s="10" t="str">
        <f>'На неделю'!P20</f>
        <v>Гончарова Ю.А.</v>
      </c>
      <c r="B48" s="122" t="str">
        <f>'На неделю'!Q20</f>
        <v>Федорцова А.Т.</v>
      </c>
      <c r="C48" s="122" t="str">
        <f>'На неделю'!R20</f>
        <v>Буевич С.В.</v>
      </c>
      <c r="D48" s="134" t="s">
        <v>64</v>
      </c>
      <c r="E48" s="135"/>
      <c r="F48"/>
    </row>
    <row r="49" spans="1:6" x14ac:dyDescent="0.2">
      <c r="A49" s="63" t="str">
        <f>'На неделю'!P21</f>
        <v>Русск. Лит 34</v>
      </c>
      <c r="B49" s="123" t="str">
        <f>'На неделю'!Q21</f>
        <v>Спецтехнология (П) 22</v>
      </c>
      <c r="C49" s="123" t="str">
        <f>'На неделю'!R21</f>
        <v>Ин. Яз. 13/43</v>
      </c>
      <c r="D49" s="134" t="s">
        <v>65</v>
      </c>
      <c r="E49" s="135"/>
    </row>
    <row r="50" spans="1:6" s="55" customFormat="1" x14ac:dyDescent="0.2">
      <c r="A50" s="10" t="str">
        <f>'На неделю'!P22</f>
        <v>Исакова Н.К.</v>
      </c>
      <c r="B50" s="122" t="str">
        <f>'На неделю'!Q22</f>
        <v>Голубева Н.И.</v>
      </c>
      <c r="C50" s="122" t="str">
        <f>'На неделю'!R22</f>
        <v>Сем. Я.А./Степ. И.В.</v>
      </c>
      <c r="D50" s="134" t="s">
        <v>66</v>
      </c>
      <c r="E50" s="135"/>
      <c r="F50"/>
    </row>
    <row r="51" spans="1:6" x14ac:dyDescent="0.2">
      <c r="A51" s="112">
        <f>'На неделю'!P23</f>
        <v>0</v>
      </c>
      <c r="B51" s="123">
        <f>'На неделю'!Q23</f>
        <v>0</v>
      </c>
      <c r="C51" s="123">
        <f>'На неделю'!R23</f>
        <v>0</v>
      </c>
      <c r="D51" s="134" t="s">
        <v>67</v>
      </c>
      <c r="E51" s="135"/>
    </row>
    <row r="52" spans="1:6" x14ac:dyDescent="0.2">
      <c r="A52" s="10">
        <f>'На неделю'!P24</f>
        <v>0</v>
      </c>
      <c r="B52" s="123">
        <f>'На неделю'!Q24</f>
        <v>0</v>
      </c>
      <c r="C52" s="123">
        <f>'На неделю'!R24</f>
        <v>0</v>
      </c>
      <c r="D52" s="134" t="s">
        <v>68</v>
      </c>
      <c r="E52" s="135"/>
    </row>
    <row r="53" spans="1:6" s="58" customFormat="1" ht="12" x14ac:dyDescent="0.2">
      <c r="A53" s="71">
        <f>'На неделю'!P25</f>
        <v>0</v>
      </c>
      <c r="B53" s="71">
        <f>'На неделю'!Q25</f>
        <v>0</v>
      </c>
      <c r="C53" s="71">
        <f>'На неделю'!R25</f>
        <v>0</v>
      </c>
      <c r="D53" s="70"/>
      <c r="E53" s="70">
        <f>'На неделю'!U37</f>
        <v>0</v>
      </c>
    </row>
    <row r="54" spans="1:6" s="57" customFormat="1" ht="12" x14ac:dyDescent="0.2">
      <c r="A54" s="69">
        <f>'На неделю'!P26</f>
        <v>0</v>
      </c>
      <c r="B54" s="69">
        <f>'На неделю'!Q26</f>
        <v>0</v>
      </c>
      <c r="C54" s="69">
        <f>'На неделю'!R26</f>
        <v>0</v>
      </c>
      <c r="D54" s="69"/>
      <c r="E54" s="69">
        <f>'На неделю'!U38</f>
        <v>0</v>
      </c>
    </row>
    <row r="58" spans="1:6" x14ac:dyDescent="0.2">
      <c r="C58" t="s">
        <v>70</v>
      </c>
      <c r="D58" t="s">
        <v>153</v>
      </c>
    </row>
  </sheetData>
  <mergeCells count="13">
    <mergeCell ref="D50:E50"/>
    <mergeCell ref="D51:E51"/>
    <mergeCell ref="D52:E52"/>
    <mergeCell ref="D46:E46"/>
    <mergeCell ref="D43:E43"/>
    <mergeCell ref="D47:E47"/>
    <mergeCell ref="D48:E48"/>
    <mergeCell ref="D49:E49"/>
    <mergeCell ref="A1:E1"/>
    <mergeCell ref="A3:E3"/>
    <mergeCell ref="A2:E2"/>
    <mergeCell ref="D44:E44"/>
    <mergeCell ref="D45:E45"/>
  </mergeCells>
  <phoneticPr fontId="18" type="noConversion"/>
  <conditionalFormatting sqref="A1:E4 A5:XFD5 A6:E13 A14:XFD15 A16:E17 A18:XFD18 A19:E26 A27:XFD28 A29:E30 A31:XFD31 A32:E39 A40:XFD41 A42:E42 F44:IV44 A55:E59 A43:C54">
    <cfRule type="cellIs" dxfId="12" priority="16" stopIfTrue="1" operator="equal">
      <formula>0</formula>
    </cfRule>
  </conditionalFormatting>
  <conditionalFormatting sqref="D44:D52">
    <cfRule type="expression" dxfId="11" priority="1" stopIfTrue="1">
      <formula>COUNTIF($A44:$P44,D44)&gt;1</formula>
    </cfRule>
  </conditionalFormatting>
  <conditionalFormatting sqref="D53:IV54">
    <cfRule type="cellIs" dxfId="10" priority="15" stopIfTrue="1" operator="equal">
      <formula>0</formula>
    </cfRule>
  </conditionalFormatting>
  <pageMargins left="0" right="0" top="0" bottom="0" header="0" footer="0"/>
  <pageSetup paperSize="9" scale="97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0FA2-369D-43E7-B830-C0B03CB49BF2}">
  <sheetPr codeName="Лист7"/>
  <dimension ref="A1:E58"/>
  <sheetViews>
    <sheetView showGridLines="0" showZeros="0" view="pageBreakPreview" topLeftCell="A22" zoomScaleNormal="100" workbookViewId="0">
      <selection activeCell="B46" sqref="B46"/>
    </sheetView>
  </sheetViews>
  <sheetFormatPr defaultRowHeight="12.75" x14ac:dyDescent="0.2"/>
  <cols>
    <col min="1" max="5" width="20.7109375" customWidth="1"/>
  </cols>
  <sheetData>
    <row r="1" spans="1:5" ht="20.25" x14ac:dyDescent="0.3">
      <c r="A1" s="167" t="s">
        <v>6</v>
      </c>
      <c r="B1" s="167"/>
      <c r="C1" s="167"/>
      <c r="D1" s="167"/>
      <c r="E1" s="167"/>
    </row>
    <row r="2" spans="1:5" ht="20.25" x14ac:dyDescent="0.3">
      <c r="A2" s="167" t="s">
        <v>2</v>
      </c>
      <c r="B2" s="167"/>
      <c r="C2" s="167"/>
      <c r="D2" s="167"/>
      <c r="E2" s="167"/>
    </row>
    <row r="3" spans="1:5" ht="20.25" x14ac:dyDescent="0.3">
      <c r="A3" s="168">
        <f>Вторник!A3+1</f>
        <v>46268</v>
      </c>
      <c r="B3" s="168"/>
      <c r="C3" s="168"/>
      <c r="D3" s="168"/>
      <c r="E3" s="168"/>
    </row>
    <row r="4" spans="1:5" ht="18" x14ac:dyDescent="0.2">
      <c r="A4" s="2" t="str">
        <f>'На неделю'!A2</f>
        <v>144</v>
      </c>
      <c r="B4" s="2" t="str">
        <f>'На неделю'!B2</f>
        <v>145</v>
      </c>
      <c r="C4" s="2" t="str">
        <f>'На неделю'!C2</f>
        <v>146</v>
      </c>
      <c r="D4" s="2" t="str">
        <f>'На неделю'!D2</f>
        <v>147</v>
      </c>
      <c r="E4" s="2" t="str">
        <f>'На неделю'!E2</f>
        <v>148</v>
      </c>
    </row>
    <row r="5" spans="1:5" s="56" customFormat="1" ht="12" x14ac:dyDescent="0.2">
      <c r="A5" s="70">
        <f>'На неделю'!A28</f>
        <v>0</v>
      </c>
      <c r="B5" s="70">
        <f>'На неделю'!B28</f>
        <v>0</v>
      </c>
      <c r="C5" s="70">
        <f>'На неделю'!C28</f>
        <v>0</v>
      </c>
      <c r="D5" s="70">
        <f>'На неделю'!D28</f>
        <v>0</v>
      </c>
      <c r="E5" s="70">
        <f>'На неделю'!E28</f>
        <v>0</v>
      </c>
    </row>
    <row r="6" spans="1:5" x14ac:dyDescent="0.2">
      <c r="A6" s="9" t="str">
        <f>'На неделю'!A29</f>
        <v>Пр.инф.2/Ин.в пр.1 31/43</v>
      </c>
      <c r="B6" s="9">
        <f>'На неделю'!B29</f>
        <v>0</v>
      </c>
      <c r="C6" s="9">
        <f>'На неделю'!C29</f>
        <v>0</v>
      </c>
      <c r="D6" s="9" t="str">
        <f>'На неделю'!D29</f>
        <v>Спецтехнология (П) 22</v>
      </c>
      <c r="E6" s="9">
        <f>'На неделю'!E29</f>
        <v>0</v>
      </c>
    </row>
    <row r="7" spans="1:5" x14ac:dyDescent="0.2">
      <c r="A7" s="10" t="str">
        <f>'На неделю'!A30</f>
        <v xml:space="preserve">Ануфриева/Степанова </v>
      </c>
      <c r="B7" s="10">
        <f>'На неделю'!B30</f>
        <v>0</v>
      </c>
      <c r="C7" s="10">
        <f>'На неделю'!C30</f>
        <v>0</v>
      </c>
      <c r="D7" s="10" t="str">
        <f>'На неделю'!D30</f>
        <v>Голубева Н.И.</v>
      </c>
      <c r="E7" s="10">
        <f>'На неделю'!E30</f>
        <v>0</v>
      </c>
    </row>
    <row r="8" spans="1:5" x14ac:dyDescent="0.2">
      <c r="A8" s="9" t="str">
        <f>'На неделю'!A31</f>
        <v>Устройство авто 55(31)</v>
      </c>
      <c r="B8" s="9">
        <f>'На неделю'!B31</f>
        <v>0</v>
      </c>
      <c r="C8" s="9">
        <f>'На неделю'!C31</f>
        <v>0</v>
      </c>
      <c r="D8" s="9" t="str">
        <f>'На неделю'!D31</f>
        <v>Спецтехнология (П) 22</v>
      </c>
      <c r="E8" s="113">
        <f>'На неделю'!E31</f>
        <v>0</v>
      </c>
    </row>
    <row r="9" spans="1:5" x14ac:dyDescent="0.2">
      <c r="A9" s="10" t="str">
        <f>'На неделю'!A32</f>
        <v>Каминский Н.В.</v>
      </c>
      <c r="B9" s="10" t="str">
        <f>'На неделю'!B32</f>
        <v>ПП</v>
      </c>
      <c r="C9" s="10" t="str">
        <f>'На неделю'!C32</f>
        <v>ПО</v>
      </c>
      <c r="D9" s="10" t="str">
        <f>'На неделю'!D32</f>
        <v>Голубева Н.И.</v>
      </c>
      <c r="E9" s="10" t="str">
        <f>'На неделю'!E32</f>
        <v>П/О</v>
      </c>
    </row>
    <row r="10" spans="1:5" x14ac:dyDescent="0.2">
      <c r="A10" s="9" t="str">
        <f>'На неделю'!A33</f>
        <v>ТО и Р авто 55(31)</v>
      </c>
      <c r="B10" s="9">
        <f>'На неделю'!B33</f>
        <v>0</v>
      </c>
      <c r="C10" s="9">
        <f>'На неделю'!C33</f>
        <v>0</v>
      </c>
      <c r="D10" s="9" t="str">
        <f>'На неделю'!D33</f>
        <v>Спецтехнология (К) 23</v>
      </c>
      <c r="E10" s="9" t="str">
        <f>'На неделю'!E33</f>
        <v>Торг. вычисления 42 (16)</v>
      </c>
    </row>
    <row r="11" spans="1:5" x14ac:dyDescent="0.2">
      <c r="A11" s="10" t="str">
        <f>'На неделю'!A34</f>
        <v>Каминский Н.В.</v>
      </c>
      <c r="B11" s="10">
        <f>'На неделю'!B34</f>
        <v>0</v>
      </c>
      <c r="C11" s="10">
        <f>'На неделю'!C34</f>
        <v>0</v>
      </c>
      <c r="D11" s="10" t="str">
        <f>'На неделю'!D34</f>
        <v>Чекан Н.Н.</v>
      </c>
      <c r="E11" s="10" t="str">
        <f>'На неделю'!E34</f>
        <v>Осипова Н.А.</v>
      </c>
    </row>
    <row r="12" spans="1:5" x14ac:dyDescent="0.2">
      <c r="A12" s="9" t="str">
        <f>'На неделю'!A35</f>
        <v>Пр.инф.1/Ин.в пр.2 31/13</v>
      </c>
      <c r="B12" s="9">
        <f>'На неделю'!B35</f>
        <v>0</v>
      </c>
      <c r="C12" s="9">
        <f>'На неделю'!C35</f>
        <v>0</v>
      </c>
      <c r="D12" s="9" t="str">
        <f>'На неделю'!D35</f>
        <v>Спецтехнология (К) 23</v>
      </c>
      <c r="E12" s="9">
        <f>'На неделю'!E35</f>
        <v>0</v>
      </c>
    </row>
    <row r="13" spans="1:5" x14ac:dyDescent="0.2">
      <c r="A13" s="10" t="str">
        <f>'На неделю'!A36</f>
        <v xml:space="preserve">Ануфриева/Семенова </v>
      </c>
      <c r="B13" s="10">
        <f>'На неделю'!B36</f>
        <v>0</v>
      </c>
      <c r="C13" s="10">
        <f>'На неделю'!C36</f>
        <v>0</v>
      </c>
      <c r="D13" s="10" t="str">
        <f>'На неделю'!D36</f>
        <v>Чекан Н.Н.</v>
      </c>
      <c r="E13" s="10">
        <f>'На неделю'!E36</f>
        <v>0</v>
      </c>
    </row>
    <row r="14" spans="1:5" s="56" customFormat="1" ht="12" x14ac:dyDescent="0.2">
      <c r="A14" s="70">
        <f>'На неделю'!A37</f>
        <v>0</v>
      </c>
      <c r="B14" s="70">
        <f>'На неделю'!B37</f>
        <v>0</v>
      </c>
      <c r="C14" s="70">
        <f>'На неделю'!C37</f>
        <v>0</v>
      </c>
      <c r="D14" s="70">
        <f>'На неделю'!D37</f>
        <v>0</v>
      </c>
      <c r="E14" s="70">
        <f>'На неделю'!E37</f>
        <v>0</v>
      </c>
    </row>
    <row r="15" spans="1:5" s="57" customFormat="1" ht="12" x14ac:dyDescent="0.2">
      <c r="A15" s="69">
        <f>'На неделю'!A38</f>
        <v>0</v>
      </c>
      <c r="B15" s="69">
        <f>'На неделю'!B38</f>
        <v>0</v>
      </c>
      <c r="C15" s="69">
        <f>'На неделю'!C38</f>
        <v>0</v>
      </c>
      <c r="D15" s="69">
        <f>'На неделю'!D38</f>
        <v>0</v>
      </c>
      <c r="E15" s="69">
        <f>'На неделю'!E38</f>
        <v>0</v>
      </c>
    </row>
    <row r="17" spans="1:5" ht="18" x14ac:dyDescent="0.2">
      <c r="A17" s="2" t="str">
        <f>'На неделю'!F2</f>
        <v>149</v>
      </c>
      <c r="B17" s="2" t="str">
        <f>'На неделю'!G2</f>
        <v>150</v>
      </c>
      <c r="C17" s="2" t="str">
        <f>'На неделю'!H2</f>
        <v>151</v>
      </c>
      <c r="D17" s="2" t="str">
        <f>'На неделю'!I2</f>
        <v>152</v>
      </c>
      <c r="E17" s="2" t="str">
        <f>'На неделю'!J2</f>
        <v>153</v>
      </c>
    </row>
    <row r="18" spans="1:5" s="56" customFormat="1" ht="12" x14ac:dyDescent="0.2">
      <c r="A18" s="70">
        <f>'На неделю'!F28</f>
        <v>0</v>
      </c>
      <c r="B18" s="70">
        <f>'На неделю'!G28</f>
        <v>0</v>
      </c>
      <c r="C18" s="70">
        <f>'На неделю'!H28</f>
        <v>0</v>
      </c>
      <c r="D18" s="70">
        <f>'На неделю'!I28</f>
        <v>0</v>
      </c>
      <c r="E18" s="70">
        <f>'На неделю'!J28</f>
        <v>0</v>
      </c>
    </row>
    <row r="19" spans="1:5" x14ac:dyDescent="0.2">
      <c r="A19" s="9" t="str">
        <f>'На неделю'!F29</f>
        <v>Черчение 12 (2)</v>
      </c>
      <c r="B19" s="9" t="str">
        <f>'На неделю'!G29</f>
        <v>Устр.агр.т.и обор.14(20)</v>
      </c>
      <c r="C19" s="9" t="str">
        <f>'На неделю'!H29</f>
        <v>Устр-во тракторов 53 (21)</v>
      </c>
      <c r="D19" s="112" t="str">
        <f>'На неделю'!I29</f>
        <v>Физ. культура (Ст/Ч)</v>
      </c>
      <c r="E19" s="112" t="str">
        <f>'На неделю'!J29</f>
        <v>Бел.язык 35(14)</v>
      </c>
    </row>
    <row r="20" spans="1:5" x14ac:dyDescent="0.2">
      <c r="A20" s="10" t="str">
        <f>'На неделю'!F30</f>
        <v>Цыбульская Е.А.</v>
      </c>
      <c r="B20" s="10" t="str">
        <f>'На неделю'!G30</f>
        <v>Шумило Д.М.</v>
      </c>
      <c r="C20" s="10" t="str">
        <f>'На неделю'!H30</f>
        <v>Гордиевич Е.И.</v>
      </c>
      <c r="D20" s="10" t="str">
        <f>'На неделю'!I30</f>
        <v>Бел.язык 35(14)</v>
      </c>
      <c r="E20" s="10" t="str">
        <f>'На неделю'!J30</f>
        <v>Физ. культура (Ст/Ч)</v>
      </c>
    </row>
    <row r="21" spans="1:5" x14ac:dyDescent="0.2">
      <c r="A21" s="9" t="str">
        <f>'На неделю'!F31</f>
        <v>Устр.агр.т.и обор.14(20)</v>
      </c>
      <c r="B21" s="9" t="str">
        <f>'На неделю'!G31</f>
        <v>Устр-во тракторов 53 (21)</v>
      </c>
      <c r="C21" s="9" t="str">
        <f>'На неделю'!H31</f>
        <v>Черчение 12 (2)</v>
      </c>
      <c r="D21" s="9" t="str">
        <f>'На неделю'!I31</f>
        <v>Пр.инф.2/Ин.в пр.1 31/43</v>
      </c>
      <c r="E21" s="9" t="str">
        <f>'На неделю'!J31</f>
        <v>История Беларуси 21(5)</v>
      </c>
    </row>
    <row r="22" spans="1:5" x14ac:dyDescent="0.2">
      <c r="A22" s="10" t="str">
        <f>'На неделю'!F32</f>
        <v>Шумило Д.М.</v>
      </c>
      <c r="B22" s="10" t="str">
        <f>'На неделю'!G32</f>
        <v>Гордиевич Е.И.</v>
      </c>
      <c r="C22" s="10" t="str">
        <f>'На неделю'!H32</f>
        <v>Цыбульская Е.А.</v>
      </c>
      <c r="D22" s="10" t="str">
        <f>'На неделю'!I32</f>
        <v xml:space="preserve">Ануфриева/Степанова </v>
      </c>
      <c r="E22" s="10" t="str">
        <f>'На неделю'!J32</f>
        <v>Сушинская Н.В.</v>
      </c>
    </row>
    <row r="23" spans="1:5" x14ac:dyDescent="0.2">
      <c r="A23" s="9" t="str">
        <f>'На неделю'!F33</f>
        <v>Устр-во тракторов 53 (21)</v>
      </c>
      <c r="B23" s="9" t="str">
        <f>'На неделю'!G33</f>
        <v>Математика 41 (15)</v>
      </c>
      <c r="C23" s="9" t="str">
        <f>'На неделю'!H33</f>
        <v>Устр.агр.т.и обор.14(20)</v>
      </c>
      <c r="D23" s="9" t="str">
        <f>'На неделю'!I33</f>
        <v>Пр.инф.1/Ин.в пр.2 31/13</v>
      </c>
      <c r="E23" s="9" t="str">
        <f>'На неделю'!J33</f>
        <v>Торг. вычисления 42 (16)</v>
      </c>
    </row>
    <row r="24" spans="1:5" x14ac:dyDescent="0.2">
      <c r="A24" s="10" t="str">
        <f>'На неделю'!F34</f>
        <v>Гордиевич Е.И.</v>
      </c>
      <c r="B24" s="10" t="str">
        <f>'На неделю'!G34</f>
        <v xml:space="preserve">Артеменко А.А. </v>
      </c>
      <c r="C24" s="10" t="str">
        <f>'На неделю'!H34</f>
        <v>Шумило Д.М.</v>
      </c>
      <c r="D24" s="10" t="str">
        <f>'На неделю'!I34</f>
        <v xml:space="preserve">Ануфриева/Семенова </v>
      </c>
      <c r="E24" s="10" t="str">
        <f>'На неделю'!J34</f>
        <v>Осипова Н.А.</v>
      </c>
    </row>
    <row r="25" spans="1:5" x14ac:dyDescent="0.2">
      <c r="A25" s="9" t="str">
        <f>'На неделю'!F35</f>
        <v>--------------------------------</v>
      </c>
      <c r="B25" s="9" t="str">
        <f>'На неделю'!G35</f>
        <v>--------------------------------</v>
      </c>
      <c r="C25" s="112" t="str">
        <f>'На неделю'!H35</f>
        <v>--------------------------------</v>
      </c>
      <c r="D25" s="9" t="str">
        <f>'На неделю'!I35</f>
        <v>--------------------------------</v>
      </c>
      <c r="E25" s="9" t="str">
        <f>'На неделю'!J35</f>
        <v>--------------------------------</v>
      </c>
    </row>
    <row r="26" spans="1:5" x14ac:dyDescent="0.2">
      <c r="A26" s="10" t="str">
        <f>'На неделю'!F36</f>
        <v>--------------------------------</v>
      </c>
      <c r="B26" s="10" t="str">
        <f>'На неделю'!G36</f>
        <v>--------------------------------</v>
      </c>
      <c r="C26" s="10" t="str">
        <f>'На неделю'!H36</f>
        <v>--------------------------------</v>
      </c>
      <c r="D26" s="10" t="str">
        <f>'На неделю'!I36</f>
        <v>--------------------------------</v>
      </c>
      <c r="E26" s="10" t="str">
        <f>'На неделю'!J36</f>
        <v>--------------------------------</v>
      </c>
    </row>
    <row r="27" spans="1:5" s="56" customFormat="1" ht="12" x14ac:dyDescent="0.2">
      <c r="A27" s="70">
        <f>'На неделю'!F37</f>
        <v>0</v>
      </c>
      <c r="B27" s="70">
        <f>'На неделю'!G37</f>
        <v>0</v>
      </c>
      <c r="C27" s="70">
        <f>'На неделю'!H37</f>
        <v>0</v>
      </c>
      <c r="D27" s="70">
        <f>'На неделю'!I37</f>
        <v>0</v>
      </c>
      <c r="E27" s="70">
        <f>'На неделю'!J37</f>
        <v>0</v>
      </c>
    </row>
    <row r="28" spans="1:5" s="57" customFormat="1" ht="12" x14ac:dyDescent="0.2">
      <c r="A28" s="69">
        <f>'На неделю'!F38</f>
        <v>0</v>
      </c>
      <c r="B28" s="69">
        <f>'На неделю'!G38</f>
        <v>0</v>
      </c>
      <c r="C28" s="69">
        <f>'На неделю'!H38</f>
        <v>0</v>
      </c>
      <c r="D28" s="69">
        <f>'На неделю'!I38</f>
        <v>0</v>
      </c>
      <c r="E28" s="69">
        <f>'На неделю'!J38</f>
        <v>0</v>
      </c>
    </row>
    <row r="30" spans="1:5" ht="18" x14ac:dyDescent="0.2">
      <c r="A30" s="2" t="str">
        <f>'На неделю'!K2</f>
        <v>154</v>
      </c>
      <c r="B30" s="2" t="str">
        <f>'На неделю'!L2</f>
        <v>155</v>
      </c>
      <c r="C30" s="2" t="str">
        <f>'На неделю'!M2</f>
        <v>156</v>
      </c>
      <c r="D30" s="2" t="str">
        <f>'На неделю'!N2</f>
        <v>157</v>
      </c>
      <c r="E30" s="2" t="str">
        <f>'На неделю'!O2</f>
        <v>158</v>
      </c>
    </row>
    <row r="31" spans="1:5" s="56" customFormat="1" ht="12" x14ac:dyDescent="0.2">
      <c r="A31" s="70">
        <f>'На неделю'!K28</f>
        <v>0</v>
      </c>
      <c r="B31" s="70">
        <f>'На неделю'!L28</f>
        <v>0</v>
      </c>
      <c r="C31" s="70">
        <f>'На неделю'!M28</f>
        <v>0</v>
      </c>
      <c r="D31" s="70">
        <f>'На неделю'!N28</f>
        <v>0</v>
      </c>
      <c r="E31" s="70">
        <f>'На неделю'!O28</f>
        <v>0</v>
      </c>
    </row>
    <row r="32" spans="1:5" x14ac:dyDescent="0.2">
      <c r="A32" s="9" t="str">
        <f>'На неделю'!K29</f>
        <v>Математика 45 (19)</v>
      </c>
      <c r="B32" s="9" t="str">
        <f>'На неделю'!L29</f>
        <v>Биология 32 (11)</v>
      </c>
      <c r="C32" s="9" t="str">
        <f>'На неделю'!M29</f>
        <v>Химия 44 (18)</v>
      </c>
      <c r="D32" s="9" t="str">
        <f>'На неделю'!N29</f>
        <v>История Беларуси 21(5)</v>
      </c>
      <c r="E32" s="9" t="str">
        <f>'На неделю'!O29</f>
        <v>ЗНТЧС 25(9)</v>
      </c>
    </row>
    <row r="33" spans="1:5" x14ac:dyDescent="0.2">
      <c r="A33" s="10" t="str">
        <f>'На неделю'!K30</f>
        <v>Гончарова Ю.А.</v>
      </c>
      <c r="B33" s="10" t="str">
        <f>'На неделю'!L30</f>
        <v>Буевич С.В.</v>
      </c>
      <c r="C33" s="10" t="str">
        <f>'На неделю'!M30</f>
        <v>Федорцова А.Т.</v>
      </c>
      <c r="D33" s="10" t="str">
        <f>'На неделю'!N30</f>
        <v>Сушинская Н.В.</v>
      </c>
      <c r="E33" s="10" t="str">
        <f>'На неделю'!O30</f>
        <v>Страх В.М.</v>
      </c>
    </row>
    <row r="34" spans="1:5" x14ac:dyDescent="0.2">
      <c r="A34" s="112" t="str">
        <f>'На неделю'!K31</f>
        <v>Физ. культура (Ст/Ч)</v>
      </c>
      <c r="B34" s="9" t="str">
        <f>'На неделю'!L31</f>
        <v>Основы права 33(12)</v>
      </c>
      <c r="C34" s="9" t="str">
        <f>'На неделю'!M31</f>
        <v>Математика 45 (19)</v>
      </c>
      <c r="D34" s="9" t="str">
        <f>'На неделю'!N31</f>
        <v>Математика 41 (15)</v>
      </c>
      <c r="E34" s="112" t="str">
        <f>'На неделю'!O31</f>
        <v>Рус.язык 34 (13)</v>
      </c>
    </row>
    <row r="35" spans="1:5" x14ac:dyDescent="0.2">
      <c r="A35" s="10" t="str">
        <f>'На неделю'!K32</f>
        <v>Рус.язык 34 (13)</v>
      </c>
      <c r="B35" s="10" t="str">
        <f>'На неделю'!L32</f>
        <v>Якшина О.А.</v>
      </c>
      <c r="C35" s="10" t="str">
        <f>'На неделю'!M32</f>
        <v>Гончарова Ю.А.</v>
      </c>
      <c r="D35" s="10" t="str">
        <f>'На неделю'!N32</f>
        <v xml:space="preserve">Артеменко А.А. </v>
      </c>
      <c r="E35" s="10" t="str">
        <f>'На неделю'!O32</f>
        <v>Физ. культура (Ст/Ч)</v>
      </c>
    </row>
    <row r="36" spans="1:5" x14ac:dyDescent="0.2">
      <c r="A36" s="9" t="str">
        <f>'На неделю'!K33</f>
        <v>Обществоведение 33(12)</v>
      </c>
      <c r="B36" s="9" t="str">
        <f>'На неделю'!L33</f>
        <v>Бел.язык 35(14)</v>
      </c>
      <c r="C36" s="9" t="str">
        <f>'На неделю'!M33</f>
        <v>Биология 32 (11)</v>
      </c>
      <c r="D36" s="9" t="str">
        <f>'На неделю'!N33</f>
        <v>Химия 44 (18)</v>
      </c>
      <c r="E36" s="9" t="str">
        <f>'На неделю'!O33</f>
        <v>Физика 11 (1)</v>
      </c>
    </row>
    <row r="37" spans="1:5" x14ac:dyDescent="0.2">
      <c r="A37" s="10" t="str">
        <f>'На неделю'!K34</f>
        <v>Якшина О.А.</v>
      </c>
      <c r="B37" s="10" t="str">
        <f>'На неделю'!L34</f>
        <v>Черненкова И.А.</v>
      </c>
      <c r="C37" s="10" t="str">
        <f>'На неделю'!M34</f>
        <v>Буевич С.В.</v>
      </c>
      <c r="D37" s="10" t="str">
        <f>'На неделю'!N34</f>
        <v>Федорцова А.Т.</v>
      </c>
      <c r="E37" s="10" t="str">
        <f>'На неделю'!O34</f>
        <v>Гаврилкина Л.П.</v>
      </c>
    </row>
    <row r="38" spans="1:5" x14ac:dyDescent="0.2">
      <c r="A38" s="112" t="str">
        <f>'На неделю'!K35</f>
        <v>--------------------------------</v>
      </c>
      <c r="B38" s="112" t="str">
        <f>'На неделю'!L35</f>
        <v>--------------------------------</v>
      </c>
      <c r="C38" s="9" t="str">
        <f>'На неделю'!M35</f>
        <v>--------------------------------</v>
      </c>
      <c r="D38" s="9" t="str">
        <f>'На неделю'!N35</f>
        <v>--------------------------------</v>
      </c>
      <c r="E38" s="9" t="str">
        <f>'На неделю'!O35</f>
        <v>--------------------------------</v>
      </c>
    </row>
    <row r="39" spans="1:5" x14ac:dyDescent="0.2">
      <c r="A39" s="10" t="str">
        <f>'На неделю'!K36</f>
        <v>--------------------------------</v>
      </c>
      <c r="B39" s="10" t="str">
        <f>'На неделю'!L36</f>
        <v>--------------------------------</v>
      </c>
      <c r="C39" s="10" t="str">
        <f>'На неделю'!M36</f>
        <v>--------------------------------</v>
      </c>
      <c r="D39" s="10" t="str">
        <f>'На неделю'!N36</f>
        <v>--------------------------------</v>
      </c>
      <c r="E39" s="10" t="str">
        <f>'На неделю'!O36</f>
        <v>--------------------------------</v>
      </c>
    </row>
    <row r="40" spans="1:5" s="56" customFormat="1" ht="12" x14ac:dyDescent="0.2">
      <c r="A40" s="70">
        <f>'На неделю'!K37</f>
        <v>0</v>
      </c>
      <c r="B40" s="70">
        <f>'На неделю'!L37</f>
        <v>0</v>
      </c>
      <c r="C40" s="70">
        <f>'На неделю'!M37</f>
        <v>0</v>
      </c>
      <c r="D40" s="70">
        <f>'На неделю'!N37</f>
        <v>0</v>
      </c>
      <c r="E40" s="70">
        <f>'На неделю'!O37</f>
        <v>0</v>
      </c>
    </row>
    <row r="41" spans="1:5" s="57" customFormat="1" ht="12" x14ac:dyDescent="0.2">
      <c r="A41" s="69">
        <f>'На неделю'!K38</f>
        <v>0</v>
      </c>
      <c r="B41" s="69">
        <f>'На неделю'!L38</f>
        <v>0</v>
      </c>
      <c r="C41" s="69">
        <f>'На неделю'!M38</f>
        <v>0</v>
      </c>
      <c r="D41" s="69">
        <f>'На неделю'!N38</f>
        <v>0</v>
      </c>
      <c r="E41" s="69">
        <f>'На неделю'!O38</f>
        <v>0</v>
      </c>
    </row>
    <row r="43" spans="1:5" ht="18" x14ac:dyDescent="0.2">
      <c r="A43" s="2" t="str">
        <f>'На неделю'!P2</f>
        <v>159</v>
      </c>
      <c r="B43" s="65" t="str">
        <f>'На неделю'!Q2</f>
        <v>160</v>
      </c>
      <c r="C43" s="65" t="str">
        <f>'На неделю'!R2</f>
        <v>161</v>
      </c>
      <c r="D43" s="146" t="s">
        <v>60</v>
      </c>
      <c r="E43" s="147"/>
    </row>
    <row r="44" spans="1:5" s="56" customFormat="1" x14ac:dyDescent="0.2">
      <c r="A44" s="70">
        <f>'На неделю'!P28</f>
        <v>0</v>
      </c>
      <c r="B44" s="84"/>
      <c r="C44" s="81">
        <f>'На неделю'!S28</f>
        <v>0</v>
      </c>
      <c r="D44" s="134" t="s">
        <v>69</v>
      </c>
      <c r="E44" s="135"/>
    </row>
    <row r="45" spans="1:5" x14ac:dyDescent="0.2">
      <c r="A45" s="9" t="str">
        <f>'На неделю'!P29</f>
        <v>Физика 11 (1)</v>
      </c>
      <c r="B45" s="9" t="str">
        <f>'На неделю'!R29</f>
        <v>Обществоведение 33(12)</v>
      </c>
      <c r="C45" s="9">
        <f>'На неделю'!S29</f>
        <v>0</v>
      </c>
      <c r="D45" s="134" t="s">
        <v>61</v>
      </c>
      <c r="E45" s="135"/>
    </row>
    <row r="46" spans="1:5" x14ac:dyDescent="0.2">
      <c r="A46" s="10" t="str">
        <f>'На неделю'!P30</f>
        <v>Гаврилкина Л.П.</v>
      </c>
      <c r="B46" s="10" t="str">
        <f>'На неделю'!R30</f>
        <v>Якшина О.А.</v>
      </c>
      <c r="C46" s="10">
        <f>'На неделю'!S30</f>
        <v>0</v>
      </c>
      <c r="D46" s="134" t="s">
        <v>62</v>
      </c>
      <c r="E46" s="135"/>
    </row>
    <row r="47" spans="1:5" x14ac:dyDescent="0.2">
      <c r="A47" s="9" t="str">
        <f>'На неделю'!P31</f>
        <v>Бел.литература 35(14)</v>
      </c>
      <c r="B47" s="112" t="str">
        <f>'На неделю'!R31</f>
        <v>Физика 11 (1)</v>
      </c>
      <c r="C47" s="9">
        <f>'На неделю'!S31</f>
        <v>0</v>
      </c>
      <c r="D47" s="134" t="s">
        <v>63</v>
      </c>
      <c r="E47" s="135"/>
    </row>
    <row r="48" spans="1:5" x14ac:dyDescent="0.2">
      <c r="A48" s="10" t="str">
        <f>'На неделю'!P32</f>
        <v>Черненкова И.А.</v>
      </c>
      <c r="B48" s="10" t="str">
        <f>'На неделю'!R32</f>
        <v>География 32 (11)</v>
      </c>
      <c r="C48" s="10">
        <f>'На неделю'!S32</f>
        <v>0</v>
      </c>
      <c r="D48" s="134" t="s">
        <v>64</v>
      </c>
      <c r="E48" s="135"/>
    </row>
    <row r="49" spans="1:5" x14ac:dyDescent="0.2">
      <c r="A49" s="112" t="str">
        <f>'На неделю'!P33</f>
        <v>Физ. культура (Ст/Ч)</v>
      </c>
      <c r="B49" s="112" t="str">
        <f>'На неделю'!R33</f>
        <v>История Беларуси 21(5)</v>
      </c>
      <c r="C49" s="9">
        <f>'На неделю'!S33</f>
        <v>0</v>
      </c>
      <c r="D49" s="134" t="s">
        <v>65</v>
      </c>
      <c r="E49" s="135"/>
    </row>
    <row r="50" spans="1:5" x14ac:dyDescent="0.2">
      <c r="A50" s="10" t="str">
        <f>'На неделю'!P34</f>
        <v>История Беларуси 21(5)</v>
      </c>
      <c r="B50" s="10" t="str">
        <f>'На неделю'!R34</f>
        <v>Физ. культура (Ст/Ч)</v>
      </c>
      <c r="C50" s="10">
        <f>'На неделю'!S34</f>
        <v>0</v>
      </c>
      <c r="D50" s="134" t="s">
        <v>66</v>
      </c>
      <c r="E50" s="135"/>
    </row>
    <row r="51" spans="1:5" x14ac:dyDescent="0.2">
      <c r="A51" s="9" t="str">
        <f>'На неделю'!P35</f>
        <v>--------------------------------</v>
      </c>
      <c r="B51" s="9" t="str">
        <f>'На неделю'!R35</f>
        <v>--------------------------------</v>
      </c>
      <c r="C51" s="9">
        <f>'На неделю'!S35</f>
        <v>0</v>
      </c>
      <c r="D51" s="134" t="s">
        <v>67</v>
      </c>
      <c r="E51" s="135"/>
    </row>
    <row r="52" spans="1:5" x14ac:dyDescent="0.2">
      <c r="A52" s="10" t="str">
        <f>'На неделю'!P36</f>
        <v>--------------------------------</v>
      </c>
      <c r="B52" s="10" t="str">
        <f>'На неделю'!R36</f>
        <v>--------------------------------</v>
      </c>
      <c r="C52" s="10">
        <f>'На неделю'!S36</f>
        <v>0</v>
      </c>
      <c r="D52" s="134" t="s">
        <v>68</v>
      </c>
      <c r="E52" s="135"/>
    </row>
    <row r="53" spans="1:5" s="56" customFormat="1" ht="12" x14ac:dyDescent="0.2">
      <c r="A53" s="70">
        <f>'На неделю'!P37</f>
        <v>0</v>
      </c>
      <c r="B53" s="70">
        <f>'На неделю'!R37</f>
        <v>0</v>
      </c>
      <c r="C53" s="81" t="str">
        <f>'На неделю'!S37</f>
        <v xml:space="preserve">                                      </v>
      </c>
      <c r="D53" s="70"/>
      <c r="E53" s="70">
        <f>'На неделю'!U37</f>
        <v>0</v>
      </c>
    </row>
    <row r="54" spans="1:5" s="57" customFormat="1" ht="12" x14ac:dyDescent="0.2">
      <c r="A54" s="69">
        <f>'На неделю'!P38</f>
        <v>0</v>
      </c>
      <c r="B54" s="69">
        <f>'На неделю'!R38</f>
        <v>0</v>
      </c>
      <c r="C54" s="82">
        <f>'На неделю'!S38</f>
        <v>0</v>
      </c>
      <c r="D54" s="69"/>
      <c r="E54" s="69">
        <f>'На неделю'!U38</f>
        <v>0</v>
      </c>
    </row>
    <row r="58" spans="1:5" x14ac:dyDescent="0.2">
      <c r="C58" t="s">
        <v>70</v>
      </c>
      <c r="D58" t="s">
        <v>153</v>
      </c>
    </row>
  </sheetData>
  <mergeCells count="13">
    <mergeCell ref="D51:E51"/>
    <mergeCell ref="D52:E52"/>
    <mergeCell ref="D45:E45"/>
    <mergeCell ref="D44:E44"/>
    <mergeCell ref="D46:E46"/>
    <mergeCell ref="D47:E47"/>
    <mergeCell ref="D48:E48"/>
    <mergeCell ref="D49:E49"/>
    <mergeCell ref="A1:E1"/>
    <mergeCell ref="A3:E3"/>
    <mergeCell ref="A2:E2"/>
    <mergeCell ref="D43:E43"/>
    <mergeCell ref="D50:E50"/>
  </mergeCells>
  <phoneticPr fontId="18" type="noConversion"/>
  <conditionalFormatting sqref="A1:E4 A5:XFD5 A6:E13 A14:XFD15 A16:E17 A18:XFD18 A19:E26 A27:XFD28 A29:E30 A31:XFD31 A40:XFD41 A42:E42 A43:C52 F44:IV44 A53:XFD54 A55:E58">
    <cfRule type="cellIs" dxfId="9" priority="25" stopIfTrue="1" operator="equal">
      <formula>0</formula>
    </cfRule>
  </conditionalFormatting>
  <conditionalFormatting sqref="A32:E39">
    <cfRule type="cellIs" dxfId="8" priority="23" stopIfTrue="1" operator="equal">
      <formula>0</formula>
    </cfRule>
  </conditionalFormatting>
  <conditionalFormatting sqref="D44:D52">
    <cfRule type="expression" dxfId="7" priority="1" stopIfTrue="1">
      <formula>COUNTIF($A44:$P44,D44)&gt;1</formula>
    </cfRule>
  </conditionalFormatting>
  <pageMargins left="0" right="0" top="0" bottom="0" header="0" footer="0"/>
  <pageSetup paperSize="9" scale="96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C6C4-051E-4D02-9848-14FEAB4B66F3}">
  <sheetPr codeName="Лист8"/>
  <dimension ref="A1:E58"/>
  <sheetViews>
    <sheetView showGridLines="0" showZeros="0" view="pageBreakPreview" zoomScaleNormal="100" zoomScaleSheetLayoutView="100" workbookViewId="0">
      <selection activeCell="C43" sqref="C43"/>
    </sheetView>
  </sheetViews>
  <sheetFormatPr defaultRowHeight="12.75" x14ac:dyDescent="0.2"/>
  <cols>
    <col min="1" max="5" width="20.7109375" customWidth="1"/>
  </cols>
  <sheetData>
    <row r="1" spans="1:5" ht="20.25" x14ac:dyDescent="0.3">
      <c r="A1" s="167" t="s">
        <v>6</v>
      </c>
      <c r="B1" s="167"/>
      <c r="C1" s="167"/>
      <c r="D1" s="167"/>
      <c r="E1" s="167"/>
    </row>
    <row r="2" spans="1:5" ht="20.25" x14ac:dyDescent="0.3">
      <c r="A2" s="167" t="s">
        <v>3</v>
      </c>
      <c r="B2" s="167"/>
      <c r="C2" s="167"/>
      <c r="D2" s="167"/>
      <c r="E2" s="167"/>
    </row>
    <row r="3" spans="1:5" ht="20.25" x14ac:dyDescent="0.3">
      <c r="A3" s="168">
        <f>Среда!A3+1</f>
        <v>46269</v>
      </c>
      <c r="B3" s="168"/>
      <c r="C3" s="168"/>
      <c r="D3" s="168"/>
      <c r="E3" s="168"/>
    </row>
    <row r="4" spans="1:5" ht="18" x14ac:dyDescent="0.2">
      <c r="A4" s="2" t="str">
        <f>'На неделю'!A2</f>
        <v>144</v>
      </c>
      <c r="B4" s="2" t="str">
        <f>'На неделю'!B2</f>
        <v>145</v>
      </c>
      <c r="C4" s="2" t="str">
        <f>'На неделю'!C2</f>
        <v>146</v>
      </c>
      <c r="D4" s="2" t="str">
        <f>'На неделю'!D2</f>
        <v>147</v>
      </c>
      <c r="E4" s="2" t="str">
        <f>'На неделю'!E2</f>
        <v>148</v>
      </c>
    </row>
    <row r="5" spans="1:5" s="56" customFormat="1" ht="12" x14ac:dyDescent="0.2">
      <c r="A5" s="70">
        <f>'На неделю'!A40</f>
        <v>0</v>
      </c>
      <c r="B5" s="70">
        <f>'На неделю'!B40</f>
        <v>0</v>
      </c>
      <c r="C5" s="70">
        <f>'На неделю'!C40</f>
        <v>0</v>
      </c>
      <c r="D5" s="70">
        <f>'На неделю'!D40</f>
        <v>0</v>
      </c>
      <c r="E5" s="70">
        <f>'На неделю'!E40</f>
        <v>0</v>
      </c>
    </row>
    <row r="6" spans="1:5" x14ac:dyDescent="0.2">
      <c r="A6" s="9" t="str">
        <f>'На неделю'!A41</f>
        <v>Пр.инф.1/Ин.в пр.2 31/13</v>
      </c>
      <c r="B6" s="9">
        <f>'На неделю'!B41</f>
        <v>0</v>
      </c>
      <c r="C6" s="9">
        <f>'На неделю'!C41</f>
        <v>0</v>
      </c>
      <c r="D6" s="9" t="str">
        <f>'На неделю'!D41</f>
        <v>Спецтехнология (К) 23</v>
      </c>
      <c r="E6" s="9">
        <f>'На неделю'!E41</f>
        <v>0</v>
      </c>
    </row>
    <row r="7" spans="1:5" x14ac:dyDescent="0.2">
      <c r="A7" s="10" t="str">
        <f>'На неделю'!A42</f>
        <v xml:space="preserve">Ануфриева/Семенова </v>
      </c>
      <c r="B7" s="10">
        <f>'На неделю'!B42</f>
        <v>0</v>
      </c>
      <c r="C7" s="10">
        <f>'На неделю'!C42</f>
        <v>0</v>
      </c>
      <c r="D7" s="10" t="str">
        <f>'На неделю'!D42</f>
        <v>Чекан Н.Н.</v>
      </c>
      <c r="E7" s="10">
        <f>'На неделю'!E42</f>
        <v>0</v>
      </c>
    </row>
    <row r="8" spans="1:5" x14ac:dyDescent="0.2">
      <c r="A8" s="9" t="str">
        <f>'На неделю'!A43</f>
        <v>Устройство авто 55(31)</v>
      </c>
      <c r="B8" s="9">
        <f>'На неделю'!B43</f>
        <v>0</v>
      </c>
      <c r="C8" s="9">
        <f>'На неделю'!C43</f>
        <v>0</v>
      </c>
      <c r="D8" s="9" t="str">
        <f>'На неделю'!D43</f>
        <v>Спецтехнология (К) 23</v>
      </c>
      <c r="E8" s="9">
        <f>'На неделю'!E43</f>
        <v>0</v>
      </c>
    </row>
    <row r="9" spans="1:5" x14ac:dyDescent="0.2">
      <c r="A9" s="10" t="str">
        <f>'На неделю'!A44</f>
        <v>Каминский Н.В.</v>
      </c>
      <c r="B9" s="10" t="str">
        <f>'На неделю'!B44</f>
        <v>ПП</v>
      </c>
      <c r="C9" s="10" t="str">
        <f>'На неделю'!C44</f>
        <v>ПО</v>
      </c>
      <c r="D9" s="10" t="str">
        <f>'На неделю'!D44</f>
        <v>Чекан Н.Н.</v>
      </c>
      <c r="E9" s="10" t="str">
        <f>'На неделю'!E44</f>
        <v>П/О</v>
      </c>
    </row>
    <row r="10" spans="1:5" x14ac:dyDescent="0.2">
      <c r="A10" s="9" t="str">
        <f>'На неделю'!A45</f>
        <v>Пр.инф.2/Ин.в пр.1 31/43</v>
      </c>
      <c r="B10" s="9">
        <f>'На неделю'!B45</f>
        <v>0</v>
      </c>
      <c r="C10" s="9">
        <f>'На неделю'!C45</f>
        <v>0</v>
      </c>
      <c r="D10" s="9" t="str">
        <f>'На неделю'!D45</f>
        <v>Спецтехнология (П) 22</v>
      </c>
      <c r="E10" s="113" t="str">
        <f>'На неделю'!E45</f>
        <v>Мастерская</v>
      </c>
    </row>
    <row r="11" spans="1:5" x14ac:dyDescent="0.2">
      <c r="A11" s="10" t="str">
        <f>'На неделю'!A46</f>
        <v xml:space="preserve">Ануфриева/Степанова </v>
      </c>
      <c r="B11" s="10">
        <f>'На неделю'!B46</f>
        <v>0</v>
      </c>
      <c r="C11" s="10">
        <f>'На неделю'!C46</f>
        <v>0</v>
      </c>
      <c r="D11" s="10" t="str">
        <f>'На неделю'!D46</f>
        <v>Голубева Н.И.</v>
      </c>
      <c r="E11" s="10" t="str">
        <f>'На неделю'!E46</f>
        <v>"Учебный</v>
      </c>
    </row>
    <row r="12" spans="1:5" x14ac:dyDescent="0.2">
      <c r="A12" s="9" t="str">
        <f>'На неделю'!A47</f>
        <v>ТО и Р тр-ров 53 (21)</v>
      </c>
      <c r="B12" s="9">
        <f>'На неделю'!B47</f>
        <v>0</v>
      </c>
      <c r="C12" s="9">
        <f>'На неделю'!C47</f>
        <v>0</v>
      </c>
      <c r="D12" s="9" t="str">
        <f>'На неделю'!D47</f>
        <v>Спецтехнология (П) 22</v>
      </c>
      <c r="E12" s="9" t="str">
        <f>'На неделю'!E47</f>
        <v>магазин"</v>
      </c>
    </row>
    <row r="13" spans="1:5" x14ac:dyDescent="0.2">
      <c r="A13" s="10" t="str">
        <f>'На неделю'!A48</f>
        <v>Гордиевич Е.И.</v>
      </c>
      <c r="B13" s="10">
        <f>'На неделю'!B48</f>
        <v>0</v>
      </c>
      <c r="C13" s="10">
        <f>'На неделю'!C48</f>
        <v>0</v>
      </c>
      <c r="D13" s="10" t="str">
        <f>'На неделю'!D48</f>
        <v>Голубева Н.И.</v>
      </c>
      <c r="E13" s="10">
        <f>'На неделю'!E48</f>
        <v>0</v>
      </c>
    </row>
    <row r="14" spans="1:5" s="56" customFormat="1" ht="12" x14ac:dyDescent="0.2">
      <c r="A14" s="70">
        <f>'На неделю'!A49</f>
        <v>0</v>
      </c>
      <c r="B14" s="70">
        <f>'На неделю'!B49</f>
        <v>0</v>
      </c>
      <c r="C14" s="70">
        <f>'На неделю'!C49</f>
        <v>0</v>
      </c>
      <c r="D14" s="70">
        <f>'На неделю'!D49</f>
        <v>0</v>
      </c>
      <c r="E14" s="70">
        <f>'На неделю'!E49</f>
        <v>0</v>
      </c>
    </row>
    <row r="15" spans="1:5" s="57" customFormat="1" ht="12" x14ac:dyDescent="0.2">
      <c r="A15" s="69">
        <f>'На неделю'!A50</f>
        <v>0</v>
      </c>
      <c r="B15" s="69">
        <f>'На неделю'!B50</f>
        <v>0</v>
      </c>
      <c r="C15" s="69">
        <f>'На неделю'!C50</f>
        <v>0</v>
      </c>
      <c r="D15" s="69">
        <f>'На неделю'!D50</f>
        <v>0</v>
      </c>
      <c r="E15" s="69">
        <f>'На неделю'!E50</f>
        <v>0</v>
      </c>
    </row>
    <row r="17" spans="1:5" ht="18" x14ac:dyDescent="0.2">
      <c r="A17" s="2" t="str">
        <f>'На неделю'!F2</f>
        <v>149</v>
      </c>
      <c r="B17" s="2" t="str">
        <f>'На неделю'!G2</f>
        <v>150</v>
      </c>
      <c r="C17" s="2" t="str">
        <f>'На неделю'!H2</f>
        <v>151</v>
      </c>
      <c r="D17" s="2" t="str">
        <f>'На неделю'!I2</f>
        <v>152</v>
      </c>
      <c r="E17" s="2" t="str">
        <f>'На неделю'!J2</f>
        <v>153</v>
      </c>
    </row>
    <row r="18" spans="1:5" s="56" customFormat="1" ht="12" x14ac:dyDescent="0.2">
      <c r="A18" s="70">
        <f>'На неделю'!F40</f>
        <v>0</v>
      </c>
      <c r="B18" s="70">
        <f>'На неделю'!G40</f>
        <v>0</v>
      </c>
      <c r="C18" s="70">
        <f>'На неделю'!H40</f>
        <v>0</v>
      </c>
      <c r="D18" s="70">
        <f>'На неделю'!I40</f>
        <v>0</v>
      </c>
      <c r="E18" s="70">
        <f>'На неделю'!J40</f>
        <v>0</v>
      </c>
    </row>
    <row r="19" spans="1:5" x14ac:dyDescent="0.2">
      <c r="A19" s="9" t="str">
        <f>'На неделю'!F41</f>
        <v>Устройство авто 55(31)</v>
      </c>
      <c r="B19" s="9" t="str">
        <f>'На неделю'!G41</f>
        <v>Устр.агр.т.и обор.14(20)</v>
      </c>
      <c r="C19" s="9" t="str">
        <f>'На неделю'!H41</f>
        <v>Устр-во тракторов 53 (21)</v>
      </c>
      <c r="D19" s="9" t="str">
        <f>'На неделю'!I41</f>
        <v>Рус.литература 34 (13)</v>
      </c>
      <c r="E19" s="9" t="str">
        <f>'На неделю'!J41</f>
        <v>География 32 (11)</v>
      </c>
    </row>
    <row r="20" spans="1:5" x14ac:dyDescent="0.2">
      <c r="A20" s="10" t="str">
        <f>'На неделю'!F42</f>
        <v>Каминский Н.В.</v>
      </c>
      <c r="B20" s="10" t="str">
        <f>'На неделю'!G42</f>
        <v>Шумило Д.М.</v>
      </c>
      <c r="C20" s="10" t="str">
        <f>'На неделю'!H42</f>
        <v>Гордиевич Е.И.</v>
      </c>
      <c r="D20" s="10" t="str">
        <f>'На неделю'!I42</f>
        <v>Исакова Н.К.</v>
      </c>
      <c r="E20" s="10" t="str">
        <f>'На неделю'!J42</f>
        <v>Буевич С.В.</v>
      </c>
    </row>
    <row r="21" spans="1:5" x14ac:dyDescent="0.2">
      <c r="A21" s="9" t="str">
        <f>'На неделю'!F43</f>
        <v>Устр-во тракторов 53 (21)</v>
      </c>
      <c r="B21" s="9" t="str">
        <f>'На неделю'!G43</f>
        <v>Черчение 12 (2)</v>
      </c>
      <c r="C21" s="9" t="str">
        <f>'На неделю'!H43</f>
        <v>Устр.агр.т.и обор.14(20)</v>
      </c>
      <c r="D21" s="9" t="str">
        <f>'На неделю'!I43</f>
        <v>Бел.язык 35(14)</v>
      </c>
      <c r="E21" s="9" t="str">
        <f>'На неделю'!J43</f>
        <v>Пр.инф.1/Ин.в пр.2 31/13</v>
      </c>
    </row>
    <row r="22" spans="1:5" x14ac:dyDescent="0.2">
      <c r="A22" s="10" t="str">
        <f>'На неделю'!F44</f>
        <v>Гордиевич Е.И.</v>
      </c>
      <c r="B22" s="10" t="str">
        <f>'На неделю'!G44</f>
        <v>Цыбульская Е.А.</v>
      </c>
      <c r="C22" s="10" t="str">
        <f>'На неделю'!H44</f>
        <v>Шумило Д.М.</v>
      </c>
      <c r="D22" s="10" t="str">
        <f>'На неделю'!I44</f>
        <v>Черненкова И.А.</v>
      </c>
      <c r="E22" s="10" t="str">
        <f>'На неделю'!J44</f>
        <v xml:space="preserve">Ануфриева/Семенова </v>
      </c>
    </row>
    <row r="23" spans="1:5" x14ac:dyDescent="0.2">
      <c r="A23" s="9" t="str">
        <f>'На неделю'!F45</f>
        <v>Устр.агр.т.и обор.14(20)</v>
      </c>
      <c r="B23" s="9" t="str">
        <f>'На неделю'!G45</f>
        <v>Устр-во тракторов 53 (21)</v>
      </c>
      <c r="C23" s="112" t="str">
        <f>'На неделю'!H45</f>
        <v>Рус. литература 34(13)</v>
      </c>
      <c r="D23" s="9" t="str">
        <f>'На неделю'!I45</f>
        <v>Товаров.пищ.пр.42 (16)</v>
      </c>
      <c r="E23" s="9" t="str">
        <f>'На неделю'!J45</f>
        <v>ЗНТЧС 25(9)</v>
      </c>
    </row>
    <row r="24" spans="1:5" x14ac:dyDescent="0.2">
      <c r="A24" s="10" t="str">
        <f>'На неделю'!F46</f>
        <v>Шумило Д.М.</v>
      </c>
      <c r="B24" s="10" t="str">
        <f>'На неделю'!G46</f>
        <v>Гордиевич Е.И.</v>
      </c>
      <c r="C24" s="10" t="str">
        <f>'На неделю'!H46</f>
        <v>Физическая культура (Ч)</v>
      </c>
      <c r="D24" s="10" t="str">
        <f>'На неделю'!I46</f>
        <v xml:space="preserve">Осипова Н.А. </v>
      </c>
      <c r="E24" s="10" t="str">
        <f>'На неделю'!J46</f>
        <v>Страх В.М.</v>
      </c>
    </row>
    <row r="25" spans="1:5" x14ac:dyDescent="0.2">
      <c r="A25" s="112" t="str">
        <f>'На неделю'!F47</f>
        <v>Бел.язык 35(14)</v>
      </c>
      <c r="B25" s="112" t="str">
        <f>'На неделю'!G47</f>
        <v>Физическая культура (Ч)</v>
      </c>
      <c r="C25" s="9" t="str">
        <f>'На неделю'!H47</f>
        <v>История Беларуси 21(5)</v>
      </c>
      <c r="D25" s="112" t="str">
        <f>'На неделю'!I47</f>
        <v>Астрономия 45 (19)</v>
      </c>
      <c r="E25" s="9" t="str">
        <f>'На неделю'!J47</f>
        <v>Пр.инф.2/Ин.в пр.1 31/43</v>
      </c>
    </row>
    <row r="26" spans="1:5" x14ac:dyDescent="0.2">
      <c r="A26" s="10" t="str">
        <f>'На неделю'!F48</f>
        <v>Физическая культура (Ч)</v>
      </c>
      <c r="B26" s="10" t="str">
        <f>'На неделю'!G48</f>
        <v>--------------------------------</v>
      </c>
      <c r="C26" s="10" t="str">
        <f>'На неделю'!H48</f>
        <v>Сушинская Н.В.</v>
      </c>
      <c r="D26" s="10" t="str">
        <f>'На неделю'!I48</f>
        <v>--------------------------------</v>
      </c>
      <c r="E26" s="10" t="str">
        <f>'На неделю'!J48</f>
        <v xml:space="preserve">Ануфриева/Степанова </v>
      </c>
    </row>
    <row r="27" spans="1:5" s="56" customFormat="1" ht="12" x14ac:dyDescent="0.2">
      <c r="A27" s="70">
        <f>'На неделю'!F49</f>
        <v>0</v>
      </c>
      <c r="B27" s="70">
        <f>'На неделю'!G49</f>
        <v>0</v>
      </c>
      <c r="C27" s="70">
        <f>'На неделю'!H49</f>
        <v>0</v>
      </c>
      <c r="D27" s="70">
        <f>'На неделю'!I49</f>
        <v>0</v>
      </c>
      <c r="E27" s="70" t="str">
        <f>'На неделю'!J49</f>
        <v xml:space="preserve"> </v>
      </c>
    </row>
    <row r="28" spans="1:5" s="57" customFormat="1" ht="12" x14ac:dyDescent="0.2">
      <c r="A28" s="69">
        <f>'На неделю'!F50</f>
        <v>0</v>
      </c>
      <c r="B28" s="69">
        <f>'На неделю'!G50</f>
        <v>0</v>
      </c>
      <c r="C28" s="69">
        <f>'На неделю'!H50</f>
        <v>0</v>
      </c>
      <c r="D28" s="69">
        <f>'На неделю'!I50</f>
        <v>0</v>
      </c>
      <c r="E28" s="69">
        <f>'На неделю'!J50</f>
        <v>0</v>
      </c>
    </row>
    <row r="30" spans="1:5" ht="18" x14ac:dyDescent="0.2">
      <c r="A30" s="2" t="str">
        <f>'На неделю'!K2</f>
        <v>154</v>
      </c>
      <c r="B30" s="2" t="str">
        <f>'На неделю'!L2</f>
        <v>155</v>
      </c>
      <c r="C30" s="2" t="str">
        <f>'На неделю'!M2</f>
        <v>156</v>
      </c>
      <c r="D30" s="2" t="str">
        <f>'На неделю'!N2</f>
        <v>157</v>
      </c>
      <c r="E30" s="2" t="str">
        <f>'На неделю'!O2</f>
        <v>158</v>
      </c>
    </row>
    <row r="31" spans="1:5" s="56" customFormat="1" ht="12" x14ac:dyDescent="0.2">
      <c r="A31" s="70">
        <f>'На неделю'!K40</f>
        <v>0</v>
      </c>
      <c r="B31" s="70">
        <f>'На неделю'!L40</f>
        <v>0</v>
      </c>
      <c r="C31" s="70">
        <f>'На неделю'!M40</f>
        <v>0</v>
      </c>
      <c r="D31" s="70">
        <f>'На неделю'!N40</f>
        <v>0</v>
      </c>
      <c r="E31" s="70">
        <f>'На неделю'!O40</f>
        <v>0</v>
      </c>
    </row>
    <row r="32" spans="1:5" x14ac:dyDescent="0.2">
      <c r="A32" s="9" t="str">
        <f>'На неделю'!K41</f>
        <v>Астрономия 45 (19)</v>
      </c>
      <c r="B32" s="9" t="str">
        <f>'На неделю'!L41</f>
        <v>Химия 44 (18)</v>
      </c>
      <c r="C32" s="9" t="str">
        <f>'На неделю'!M41</f>
        <v>Бел.литература 35(14)</v>
      </c>
      <c r="D32" s="9" t="str">
        <f>'На неделю'!N41</f>
        <v>Основы права 33(12)</v>
      </c>
      <c r="E32" s="9" t="str">
        <f>'На неделю'!O41</f>
        <v>ЗНТЧС 25(9)</v>
      </c>
    </row>
    <row r="33" spans="1:5" x14ac:dyDescent="0.2">
      <c r="A33" s="10" t="str">
        <f>'На неделю'!K42</f>
        <v>Гончарова Ю.А.</v>
      </c>
      <c r="B33" s="10" t="str">
        <f>'На неделю'!L42</f>
        <v>Федорцова А.Т.</v>
      </c>
      <c r="C33" s="10" t="str">
        <f>'На неделю'!M42</f>
        <v>Черненкова И.А.</v>
      </c>
      <c r="D33" s="10" t="str">
        <f>'На неделю'!N42</f>
        <v>Якшина О.А.</v>
      </c>
      <c r="E33" s="10" t="str">
        <f>'На неделю'!O42</f>
        <v>Страх В.М.</v>
      </c>
    </row>
    <row r="34" spans="1:5" x14ac:dyDescent="0.2">
      <c r="A34" s="9" t="str">
        <f>'На неделю'!K43</f>
        <v>История Беларуси 21(5)</v>
      </c>
      <c r="B34" s="9" t="str">
        <f>'На неделю'!L43</f>
        <v>Физика 11 (1)</v>
      </c>
      <c r="C34" s="112" t="str">
        <f>'На неделю'!M43</f>
        <v>Физическая культура (Ч)</v>
      </c>
      <c r="D34" s="112" t="str">
        <f>'На неделю'!N43</f>
        <v>Рус.язык 34 (13)</v>
      </c>
      <c r="E34" s="9" t="str">
        <f>'На неделю'!O43</f>
        <v>Химия 44 (18)</v>
      </c>
    </row>
    <row r="35" spans="1:5" x14ac:dyDescent="0.2">
      <c r="A35" s="10" t="str">
        <f>'На неделю'!K44</f>
        <v>Сушинская Н.В.</v>
      </c>
      <c r="B35" s="10" t="str">
        <f>'На неделю'!L44</f>
        <v>Гаврилкина Л.П.</v>
      </c>
      <c r="C35" s="10" t="str">
        <f>'На неделю'!M44</f>
        <v>Рус.язык 34 (13)</v>
      </c>
      <c r="D35" s="10" t="str">
        <f>'На неделю'!N44</f>
        <v>Физическая культура (Ч)</v>
      </c>
      <c r="E35" s="10" t="str">
        <f>'На неделю'!O44</f>
        <v>Федорцова А.Т.</v>
      </c>
    </row>
    <row r="36" spans="1:5" x14ac:dyDescent="0.2">
      <c r="A36" s="9" t="str">
        <f>'На неделю'!K45</f>
        <v>Математика 45 (19)</v>
      </c>
      <c r="B36" s="112" t="str">
        <f>'На неделю'!L45</f>
        <v>Физическая культура (Ч)</v>
      </c>
      <c r="C36" s="9" t="str">
        <f>'На неделю'!M45</f>
        <v>Физика 11 (1)</v>
      </c>
      <c r="D36" s="9" t="str">
        <f>'На неделю'!N45</f>
        <v>География 32 (11)</v>
      </c>
      <c r="E36" s="9" t="str">
        <f>'На неделю'!O45</f>
        <v>История Беларуси 21(5)</v>
      </c>
    </row>
    <row r="37" spans="1:5" x14ac:dyDescent="0.2">
      <c r="A37" s="10" t="str">
        <f>'На неделю'!K46</f>
        <v>Гончарова Ю.А.</v>
      </c>
      <c r="B37" s="10" t="str">
        <f>'На неделю'!L46</f>
        <v>Рус. литература 34(13)</v>
      </c>
      <c r="C37" s="10" t="str">
        <f>'На неделю'!M46</f>
        <v>Гаврилкина Л.П.</v>
      </c>
      <c r="D37" s="10" t="str">
        <f>'На неделю'!N46</f>
        <v>Буевич С.В.</v>
      </c>
      <c r="E37" s="10" t="str">
        <f>'На неделю'!O46</f>
        <v>Сушинская Н.В.</v>
      </c>
    </row>
    <row r="38" spans="1:5" x14ac:dyDescent="0.2">
      <c r="A38" s="9" t="str">
        <f>'На неделю'!K47</f>
        <v>Электротехника 14 (20)</v>
      </c>
      <c r="B38" s="112" t="str">
        <f>'На неделю'!L47</f>
        <v>Основы права 33(12)</v>
      </c>
      <c r="C38" s="112" t="str">
        <f>'На неделю'!M47</f>
        <v>Черчение 12(2)</v>
      </c>
      <c r="D38" s="9" t="str">
        <f>'На неделю'!N47</f>
        <v>Физика 11 (1)</v>
      </c>
      <c r="E38" s="9" t="str">
        <f>'На неделю'!O47</f>
        <v>Биология 44 (18)</v>
      </c>
    </row>
    <row r="39" spans="1:5" x14ac:dyDescent="0.2">
      <c r="A39" s="10" t="str">
        <f>'На неделю'!K48</f>
        <v>Земец И.И.</v>
      </c>
      <c r="B39" s="10" t="str">
        <f>'На неделю'!L48</f>
        <v>--------------------------------</v>
      </c>
      <c r="C39" s="10" t="str">
        <f>'На неделю'!M48</f>
        <v>--------------------------------</v>
      </c>
      <c r="D39" s="10" t="str">
        <f>'На неделю'!N48</f>
        <v>Гаврилкина Л.П.</v>
      </c>
      <c r="E39" s="10" t="str">
        <f>'На неделю'!O48</f>
        <v>Федорцова А.Т.</v>
      </c>
    </row>
    <row r="40" spans="1:5" s="56" customFormat="1" ht="12" x14ac:dyDescent="0.2">
      <c r="A40" s="70">
        <f>'На неделю'!K49</f>
        <v>0</v>
      </c>
      <c r="B40" s="70">
        <f>'На неделю'!L49</f>
        <v>0</v>
      </c>
      <c r="C40" s="70">
        <f>'На неделю'!M49</f>
        <v>0</v>
      </c>
      <c r="D40" s="70">
        <f>'На неделю'!N49</f>
        <v>0</v>
      </c>
      <c r="E40" s="70">
        <f>'На неделю'!O49</f>
        <v>0</v>
      </c>
    </row>
    <row r="41" spans="1:5" s="57" customFormat="1" ht="12" x14ac:dyDescent="0.2">
      <c r="A41" s="69">
        <f>'На неделю'!K50</f>
        <v>0</v>
      </c>
      <c r="B41" s="69">
        <f>'На неделю'!L50</f>
        <v>0</v>
      </c>
      <c r="C41" s="69">
        <f>'На неделю'!M50</f>
        <v>0</v>
      </c>
      <c r="D41" s="69">
        <f>'На неделю'!N50</f>
        <v>0</v>
      </c>
      <c r="E41" s="69">
        <f>'На неделю'!O50</f>
        <v>0</v>
      </c>
    </row>
    <row r="43" spans="1:5" ht="18" x14ac:dyDescent="0.2">
      <c r="A43" s="2" t="str">
        <f>'На неделю'!P2</f>
        <v>159</v>
      </c>
      <c r="B43" s="65" t="str">
        <f>'На неделю'!Q2</f>
        <v>160</v>
      </c>
      <c r="C43" s="65" t="str">
        <f>'На неделю'!R2</f>
        <v>161</v>
      </c>
      <c r="D43" s="146" t="s">
        <v>60</v>
      </c>
      <c r="E43" s="147"/>
    </row>
    <row r="44" spans="1:5" s="56" customFormat="1" x14ac:dyDescent="0.2">
      <c r="A44" s="70">
        <f>'На неделю'!P40</f>
        <v>0</v>
      </c>
      <c r="B44" s="70">
        <f>'На неделю'!R40</f>
        <v>0</v>
      </c>
      <c r="C44" s="70">
        <f>'На неделю'!S40</f>
        <v>0</v>
      </c>
      <c r="D44" s="134" t="s">
        <v>69</v>
      </c>
      <c r="E44" s="135"/>
    </row>
    <row r="45" spans="1:5" x14ac:dyDescent="0.2">
      <c r="A45" s="9" t="str">
        <f>'На неделю'!P41</f>
        <v>Черчение 12(2)</v>
      </c>
      <c r="B45" s="9" t="str">
        <f>'На неделю'!R41</f>
        <v>Физика 11 (1)</v>
      </c>
      <c r="C45" s="9">
        <f>'На неделю'!S41</f>
        <v>0</v>
      </c>
      <c r="D45" s="134" t="s">
        <v>61</v>
      </c>
      <c r="E45" s="135"/>
    </row>
    <row r="46" spans="1:5" x14ac:dyDescent="0.2">
      <c r="A46" s="10" t="str">
        <f>'На неделю'!P42</f>
        <v>Цыбульская Е.А.</v>
      </c>
      <c r="B46" s="10" t="str">
        <f>'На неделю'!R42</f>
        <v>Гаврилкина Л.П.</v>
      </c>
      <c r="C46" s="10">
        <f>'На неделю'!S42</f>
        <v>0</v>
      </c>
      <c r="D46" s="134" t="s">
        <v>62</v>
      </c>
      <c r="E46" s="135"/>
    </row>
    <row r="47" spans="1:5" x14ac:dyDescent="0.2">
      <c r="A47" s="9" t="str">
        <f>'На неделю'!P43</f>
        <v>Математика 45 (19)</v>
      </c>
      <c r="B47" s="9" t="str">
        <f>'На неделю'!R43</f>
        <v>Основы права 33(12)</v>
      </c>
      <c r="C47" s="112">
        <f>'На неделю'!S43</f>
        <v>0</v>
      </c>
      <c r="D47" s="134" t="s">
        <v>63</v>
      </c>
      <c r="E47" s="135"/>
    </row>
    <row r="48" spans="1:5" x14ac:dyDescent="0.2">
      <c r="A48" s="10" t="str">
        <f>'На неделю'!P44</f>
        <v>Гончарова Ю.А.</v>
      </c>
      <c r="B48" s="10" t="str">
        <f>'На неделю'!R44</f>
        <v>Якшина О.А.</v>
      </c>
      <c r="C48" s="10">
        <f>'На неделю'!S44</f>
        <v>0</v>
      </c>
      <c r="D48" s="134" t="s">
        <v>64</v>
      </c>
      <c r="E48" s="135"/>
    </row>
    <row r="49" spans="1:5" x14ac:dyDescent="0.2">
      <c r="A49" s="9" t="str">
        <f>'На неделю'!P45</f>
        <v>Химия 44 (18)</v>
      </c>
      <c r="B49" s="9" t="str">
        <f>'На неделю'!R45</f>
        <v>Черчение 12(2)</v>
      </c>
      <c r="C49" s="9">
        <f>'На неделю'!S45</f>
        <v>0</v>
      </c>
      <c r="D49" s="134" t="s">
        <v>65</v>
      </c>
      <c r="E49" s="135"/>
    </row>
    <row r="50" spans="1:5" x14ac:dyDescent="0.2">
      <c r="A50" s="10" t="str">
        <f>'На неделю'!P46</f>
        <v>Федорцова А.Т.</v>
      </c>
      <c r="B50" s="10" t="str">
        <f>'На неделю'!R46</f>
        <v>Цыбульская Е.А.</v>
      </c>
      <c r="C50" s="10">
        <f>'На неделю'!S46</f>
        <v>0</v>
      </c>
      <c r="D50" s="134" t="s">
        <v>66</v>
      </c>
      <c r="E50" s="135"/>
    </row>
    <row r="51" spans="1:5" x14ac:dyDescent="0.2">
      <c r="A51" s="9" t="str">
        <f>'На неделю'!P47</f>
        <v>ЗНТЧС 25(9)</v>
      </c>
      <c r="B51" s="9" t="str">
        <f>'На неделю'!R47</f>
        <v>Рус.литература 34 (13)</v>
      </c>
      <c r="C51" s="9">
        <f>'На неделю'!S47</f>
        <v>0</v>
      </c>
      <c r="D51" s="134" t="s">
        <v>67</v>
      </c>
      <c r="E51" s="135"/>
    </row>
    <row r="52" spans="1:5" x14ac:dyDescent="0.2">
      <c r="A52" s="10" t="str">
        <f>'На неделю'!P48</f>
        <v>Страх В.М.</v>
      </c>
      <c r="B52" s="10" t="str">
        <f>'На неделю'!R48</f>
        <v>Исакова Н.К.</v>
      </c>
      <c r="C52" s="10">
        <f>'На неделю'!S48</f>
        <v>0</v>
      </c>
      <c r="D52" s="134" t="s">
        <v>68</v>
      </c>
      <c r="E52" s="135"/>
    </row>
    <row r="53" spans="1:5" s="56" customFormat="1" ht="12" x14ac:dyDescent="0.2">
      <c r="A53" s="70">
        <f>'На неделю'!P49</f>
        <v>0</v>
      </c>
      <c r="B53" s="70">
        <f>'На неделю'!R49</f>
        <v>0</v>
      </c>
      <c r="C53" s="81" t="str">
        <f>'На неделю'!S49</f>
        <v xml:space="preserve">                                      </v>
      </c>
      <c r="D53" s="70"/>
      <c r="E53" s="70">
        <f>'На неделю'!U37</f>
        <v>0</v>
      </c>
    </row>
    <row r="54" spans="1:5" s="57" customFormat="1" ht="12" x14ac:dyDescent="0.2">
      <c r="A54" s="69">
        <f>'На неделю'!P50</f>
        <v>0</v>
      </c>
      <c r="B54" s="69">
        <f>'На неделю'!R50</f>
        <v>0</v>
      </c>
      <c r="C54" s="82">
        <f>'На неделю'!S50</f>
        <v>0</v>
      </c>
      <c r="D54" s="69"/>
      <c r="E54" s="69">
        <f>'На неделю'!U38</f>
        <v>0</v>
      </c>
    </row>
    <row r="58" spans="1:5" x14ac:dyDescent="0.2">
      <c r="C58" t="s">
        <v>71</v>
      </c>
      <c r="D58" t="s">
        <v>153</v>
      </c>
    </row>
  </sheetData>
  <mergeCells count="13">
    <mergeCell ref="D50:E50"/>
    <mergeCell ref="D51:E51"/>
    <mergeCell ref="D52:E52"/>
    <mergeCell ref="D46:E46"/>
    <mergeCell ref="D43:E43"/>
    <mergeCell ref="D47:E47"/>
    <mergeCell ref="D48:E48"/>
    <mergeCell ref="D49:E49"/>
    <mergeCell ref="A1:E1"/>
    <mergeCell ref="A3:E3"/>
    <mergeCell ref="A2:E2"/>
    <mergeCell ref="D44:E44"/>
    <mergeCell ref="D45:E45"/>
  </mergeCells>
  <phoneticPr fontId="18" type="noConversion"/>
  <conditionalFormatting sqref="A1:E4 A5:XFD5 A6:E13 A14:XFD15 A16:E17 A18:XFD18 A19:E26 A27:XFD28 A29:E30 A31:XFD31 A32:E39 A40:XFD41 A42:E42 A43:C54 F44:IV44 A55:E58">
    <cfRule type="cellIs" dxfId="6" priority="16" stopIfTrue="1" operator="equal">
      <formula>0</formula>
    </cfRule>
  </conditionalFormatting>
  <conditionalFormatting sqref="D44:D52">
    <cfRule type="expression" dxfId="5" priority="1" stopIfTrue="1">
      <formula>COUNTIF($A44:$P44,D44)&gt;1</formula>
    </cfRule>
  </conditionalFormatting>
  <conditionalFormatting sqref="D53:IV54">
    <cfRule type="cellIs" dxfId="4" priority="15" stopIfTrue="1" operator="equal">
      <formula>0</formula>
    </cfRule>
  </conditionalFormatting>
  <pageMargins left="0" right="0" top="0" bottom="0" header="0" footer="0"/>
  <pageSetup paperSize="9" scale="9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5CF8-2923-4082-BF22-63FD82BB5666}">
  <sheetPr codeName="Лист9"/>
  <dimension ref="A1:E58"/>
  <sheetViews>
    <sheetView showGridLines="0" showZeros="0" view="pageBreakPreview" topLeftCell="A10" zoomScaleNormal="100" workbookViewId="0">
      <selection activeCell="C43" sqref="C43"/>
    </sheetView>
  </sheetViews>
  <sheetFormatPr defaultRowHeight="12.75" x14ac:dyDescent="0.2"/>
  <cols>
    <col min="1" max="5" width="20.7109375" customWidth="1"/>
  </cols>
  <sheetData>
    <row r="1" spans="1:5" ht="20.25" x14ac:dyDescent="0.3">
      <c r="A1" s="167" t="s">
        <v>6</v>
      </c>
      <c r="B1" s="167"/>
      <c r="C1" s="167"/>
      <c r="D1" s="167"/>
      <c r="E1" s="167"/>
    </row>
    <row r="2" spans="1:5" ht="20.25" x14ac:dyDescent="0.3">
      <c r="A2" s="167" t="s">
        <v>4</v>
      </c>
      <c r="B2" s="167"/>
      <c r="C2" s="167"/>
      <c r="D2" s="167"/>
      <c r="E2" s="167"/>
    </row>
    <row r="3" spans="1:5" ht="20.25" x14ac:dyDescent="0.3">
      <c r="A3" s="168">
        <f>Четверг!A3+1</f>
        <v>46270</v>
      </c>
      <c r="B3" s="168"/>
      <c r="C3" s="168"/>
      <c r="D3" s="168"/>
      <c r="E3" s="168"/>
    </row>
    <row r="4" spans="1:5" ht="18" x14ac:dyDescent="0.2">
      <c r="A4" s="2" t="str">
        <f>'На неделю'!A2</f>
        <v>144</v>
      </c>
      <c r="B4" s="2" t="str">
        <f>'На неделю'!B2</f>
        <v>145</v>
      </c>
      <c r="C4" s="2" t="str">
        <f>'На неделю'!C2</f>
        <v>146</v>
      </c>
      <c r="D4" s="2" t="str">
        <f>'На неделю'!D2</f>
        <v>147</v>
      </c>
      <c r="E4" s="2" t="str">
        <f>'На неделю'!E2</f>
        <v>148</v>
      </c>
    </row>
    <row r="5" spans="1:5" s="56" customFormat="1" ht="12" x14ac:dyDescent="0.2">
      <c r="A5" s="71" t="str">
        <f>'На неделю'!A52</f>
        <v>8.05 Физ. культура (Ч)</v>
      </c>
      <c r="B5" s="70">
        <f>'На неделю'!B52</f>
        <v>0</v>
      </c>
      <c r="C5" s="70">
        <f>'На неделю'!C52</f>
        <v>0</v>
      </c>
      <c r="D5" s="70">
        <f>'На неделю'!D52</f>
        <v>0</v>
      </c>
      <c r="E5" s="70">
        <f>'На неделю'!E52</f>
        <v>0</v>
      </c>
    </row>
    <row r="6" spans="1:5" x14ac:dyDescent="0.2">
      <c r="A6" s="9" t="str">
        <f>'На неделю'!A53</f>
        <v>Устройство авто 55(31)</v>
      </c>
      <c r="B6" s="112">
        <f>'На неделю'!B53</f>
        <v>0</v>
      </c>
      <c r="C6" s="9">
        <f>'На неделю'!C53</f>
        <v>0</v>
      </c>
      <c r="D6" s="9" t="str">
        <f>'На неделю'!D53</f>
        <v>Спецтехнология (К) 23</v>
      </c>
      <c r="E6" s="113">
        <f>'На неделю'!E53</f>
        <v>0</v>
      </c>
    </row>
    <row r="7" spans="1:5" x14ac:dyDescent="0.2">
      <c r="A7" s="10" t="str">
        <f>'На неделю'!A54</f>
        <v>Каминский Н.В.</v>
      </c>
      <c r="B7" s="9">
        <f>'На неделю'!B54</f>
        <v>0</v>
      </c>
      <c r="C7" s="10">
        <f>'На неделю'!C54</f>
        <v>0</v>
      </c>
      <c r="D7" s="10" t="str">
        <f>'На неделю'!D54</f>
        <v>Чекан Н.Н.</v>
      </c>
      <c r="E7" s="116">
        <f>'На неделю'!E54</f>
        <v>0</v>
      </c>
    </row>
    <row r="8" spans="1:5" x14ac:dyDescent="0.2">
      <c r="A8" s="9" t="str">
        <f>'На неделю'!A55</f>
        <v>ТО и Р авто 55(31)</v>
      </c>
      <c r="B8" s="10">
        <f>'На неделю'!B55</f>
        <v>0</v>
      </c>
      <c r="C8" s="9">
        <f>'На неделю'!C55</f>
        <v>0</v>
      </c>
      <c r="D8" s="9" t="str">
        <f>'На неделю'!D55</f>
        <v>Спецтехнология (К) 23</v>
      </c>
      <c r="E8" s="113">
        <f>'На неделю'!E55</f>
        <v>0</v>
      </c>
    </row>
    <row r="9" spans="1:5" x14ac:dyDescent="0.2">
      <c r="A9" s="10" t="str">
        <f>'На неделю'!A56</f>
        <v>Каминский Н.В.</v>
      </c>
      <c r="B9" s="9" t="str">
        <f>'На неделю'!B56</f>
        <v>ПП</v>
      </c>
      <c r="C9" s="10" t="str">
        <f>'На неделю'!C56</f>
        <v>ПО</v>
      </c>
      <c r="D9" s="10" t="str">
        <f>'На неделю'!D56</f>
        <v>Чекан Н.Н.</v>
      </c>
      <c r="E9" s="116" t="str">
        <f>'На неделю'!E56</f>
        <v>П/О</v>
      </c>
    </row>
    <row r="10" spans="1:5" x14ac:dyDescent="0.2">
      <c r="A10" s="9" t="str">
        <f>'На неделю'!A57</f>
        <v>ТО и Р авто 55(31)</v>
      </c>
      <c r="B10" s="10">
        <f>'На неделю'!B57</f>
        <v>0</v>
      </c>
      <c r="C10" s="9">
        <f>'На неделю'!C57</f>
        <v>0</v>
      </c>
      <c r="D10" s="9" t="str">
        <f>'На неделю'!D57</f>
        <v xml:space="preserve">Физическая культура </v>
      </c>
      <c r="E10" s="9" t="str">
        <f>'На неделю'!E57</f>
        <v>Мастерская</v>
      </c>
    </row>
    <row r="11" spans="1:5" x14ac:dyDescent="0.2">
      <c r="A11" s="10" t="str">
        <f>'На неделю'!A58</f>
        <v>Каминский Н.В.</v>
      </c>
      <c r="B11" s="113">
        <f>'На неделю'!B58</f>
        <v>0</v>
      </c>
      <c r="C11" s="10">
        <f>'На неделю'!C58</f>
        <v>0</v>
      </c>
      <c r="D11" s="10" t="str">
        <f>'На неделю'!D58</f>
        <v>Чевидаев/Столбицкий</v>
      </c>
      <c r="E11" s="10" t="str">
        <f>'На неделю'!E58</f>
        <v>"Учебный</v>
      </c>
    </row>
    <row r="12" spans="1:5" x14ac:dyDescent="0.2">
      <c r="A12" s="10" t="str">
        <f>'На неделю'!A59</f>
        <v>--------------------------------</v>
      </c>
      <c r="B12" s="10">
        <f>'На неделю'!B59</f>
        <v>0</v>
      </c>
      <c r="C12" s="9">
        <f>'На неделю'!C59</f>
        <v>0</v>
      </c>
      <c r="D12" s="9" t="str">
        <f>'На неделю'!D59</f>
        <v>--------------------------------</v>
      </c>
      <c r="E12" s="9" t="str">
        <f>'На неделю'!E59</f>
        <v>магазин"</v>
      </c>
    </row>
    <row r="13" spans="1:5" x14ac:dyDescent="0.2">
      <c r="A13" s="10" t="str">
        <f>'На неделю'!A60</f>
        <v>--------------------------------</v>
      </c>
      <c r="B13" s="10">
        <f>'На неделю'!B60</f>
        <v>0</v>
      </c>
      <c r="C13" s="10">
        <f>'На неделю'!C60</f>
        <v>0</v>
      </c>
      <c r="D13" s="10" t="str">
        <f>'На неделю'!D60</f>
        <v>--------------------------------</v>
      </c>
      <c r="E13" s="10">
        <f>'На неделю'!E60</f>
        <v>0</v>
      </c>
    </row>
    <row r="14" spans="1:5" s="56" customFormat="1" ht="12" x14ac:dyDescent="0.2">
      <c r="A14" s="70">
        <f>'На неделю'!A61</f>
        <v>0</v>
      </c>
      <c r="B14" s="70">
        <f>'На неделю'!B61</f>
        <v>0</v>
      </c>
      <c r="C14" s="70">
        <f>'На неделю'!C61</f>
        <v>0</v>
      </c>
      <c r="D14" s="70">
        <f>'На неделю'!D61</f>
        <v>0</v>
      </c>
      <c r="E14" s="70">
        <f>'На неделю'!E61</f>
        <v>0</v>
      </c>
    </row>
    <row r="15" spans="1:5" s="57" customFormat="1" ht="12" x14ac:dyDescent="0.2">
      <c r="A15" s="69">
        <f>'На неделю'!A62</f>
        <v>0</v>
      </c>
      <c r="B15" s="69">
        <f>'На неделю'!B62</f>
        <v>0</v>
      </c>
      <c r="C15" s="69">
        <f>'На неделю'!C62</f>
        <v>0</v>
      </c>
      <c r="D15" s="69">
        <f>'На неделю'!D62</f>
        <v>0</v>
      </c>
      <c r="E15" s="69">
        <f>'На неделю'!E62</f>
        <v>0</v>
      </c>
    </row>
    <row r="17" spans="1:5" ht="18" x14ac:dyDescent="0.2">
      <c r="A17" s="2" t="str">
        <f>'На неделю'!F2</f>
        <v>149</v>
      </c>
      <c r="B17" s="2" t="str">
        <f>'На неделю'!G2</f>
        <v>150</v>
      </c>
      <c r="C17" s="2" t="str">
        <f>'На неделю'!H2</f>
        <v>151</v>
      </c>
      <c r="D17" s="2" t="str">
        <f>'На неделю'!I2</f>
        <v>152</v>
      </c>
      <c r="E17" s="2" t="str">
        <f>'На неделю'!J2</f>
        <v>153</v>
      </c>
    </row>
    <row r="18" spans="1:5" s="56" customFormat="1" ht="12" x14ac:dyDescent="0.2">
      <c r="A18" s="70">
        <f>'На неделю'!F52</f>
        <v>0</v>
      </c>
      <c r="B18" s="70">
        <f>'На неделю'!G52</f>
        <v>0</v>
      </c>
      <c r="C18" s="70">
        <f>'На неделю'!H52</f>
        <v>0</v>
      </c>
      <c r="D18" s="70">
        <f>'На неделю'!I52</f>
        <v>0</v>
      </c>
      <c r="E18" s="70">
        <f>'На неделю'!J52</f>
        <v>0</v>
      </c>
    </row>
    <row r="19" spans="1:5" x14ac:dyDescent="0.2">
      <c r="A19" s="9" t="str">
        <f>'На неделю'!F53</f>
        <v>Устр-во тракторов 53 (21)</v>
      </c>
      <c r="B19" s="9" t="str">
        <f>'На неделю'!G53</f>
        <v>Математика 41 (15)</v>
      </c>
      <c r="C19" s="9" t="str">
        <f>'На неделю'!H53</f>
        <v>Обществоведение 33(12)</v>
      </c>
      <c r="D19" s="9" t="str">
        <f>'На неделю'!I53</f>
        <v>Пр.инф.2/Ин.в пр.1 31/43</v>
      </c>
      <c r="E19" s="9" t="str">
        <f>'На неделю'!J53</f>
        <v>Математика 45 (19)</v>
      </c>
    </row>
    <row r="20" spans="1:5" x14ac:dyDescent="0.2">
      <c r="A20" s="10" t="str">
        <f>'На неделю'!F54</f>
        <v>Гордиевич Е.И.</v>
      </c>
      <c r="B20" s="10" t="str">
        <f>'На неделю'!G54</f>
        <v xml:space="preserve">Артеменко А.А. </v>
      </c>
      <c r="C20" s="10" t="str">
        <f>'На неделю'!H54</f>
        <v>Якшина О.А.</v>
      </c>
      <c r="D20" s="10" t="str">
        <f>'На неделю'!I54</f>
        <v xml:space="preserve">Ануфриева/Степанова </v>
      </c>
      <c r="E20" s="10" t="str">
        <f>'На неделю'!J54</f>
        <v>Гончарова Ю.А.</v>
      </c>
    </row>
    <row r="21" spans="1:5" x14ac:dyDescent="0.2">
      <c r="A21" s="9" t="str">
        <f>'На неделю'!F55</f>
        <v>Обществоведение 33(12)</v>
      </c>
      <c r="B21" s="9" t="str">
        <f>'На неделю'!G55</f>
        <v>Устр-во тракторов 53 (21)</v>
      </c>
      <c r="C21" s="9" t="str">
        <f>'На неделю'!H55</f>
        <v>Математика 41 (15)</v>
      </c>
      <c r="D21" s="112" t="str">
        <f>'На неделю'!I55</f>
        <v>Физ. культура (Ст/Ч)</v>
      </c>
      <c r="E21" s="112" t="str">
        <f>'На неделю'!J55</f>
        <v>История Беларуси 21(5)</v>
      </c>
    </row>
    <row r="22" spans="1:5" x14ac:dyDescent="0.2">
      <c r="A22" s="10" t="str">
        <f>'На неделю'!F56</f>
        <v>Якшина О.А.</v>
      </c>
      <c r="B22" s="10" t="str">
        <f>'На неделю'!G56</f>
        <v>Гордиевич Е.И.</v>
      </c>
      <c r="C22" s="10" t="str">
        <f>'На неделю'!H56</f>
        <v xml:space="preserve">Артеменко А.А. </v>
      </c>
      <c r="D22" s="10" t="str">
        <f>'На неделю'!I56</f>
        <v>История Беларуси 21(5)</v>
      </c>
      <c r="E22" s="10" t="str">
        <f>'На неделю'!J56</f>
        <v>Физ. культура (Ст/Ч)</v>
      </c>
    </row>
    <row r="23" spans="1:5" x14ac:dyDescent="0.2">
      <c r="A23" s="9" t="str">
        <f>'На неделю'!F57</f>
        <v>Математика 41 (15)</v>
      </c>
      <c r="B23" s="9" t="str">
        <f>'На неделю'!G57</f>
        <v>Обществоведение 33(12)</v>
      </c>
      <c r="C23" s="9" t="str">
        <f>'На неделю'!H57</f>
        <v>Устр-во тракторов 53 (21)</v>
      </c>
      <c r="D23" s="9" t="str">
        <f>'На неделю'!I57</f>
        <v>Пр.инф.1/Ин.в пр.2 31/13</v>
      </c>
      <c r="E23" s="9" t="str">
        <f>'На неделю'!J57</f>
        <v>Торг. вычисления 42 (16)</v>
      </c>
    </row>
    <row r="24" spans="1:5" x14ac:dyDescent="0.2">
      <c r="A24" s="10" t="str">
        <f>'На неделю'!F58</f>
        <v xml:space="preserve">Артеменко А.А. </v>
      </c>
      <c r="B24" s="10" t="str">
        <f>'На неделю'!G58</f>
        <v>Якшина О.А.</v>
      </c>
      <c r="C24" s="10" t="str">
        <f>'На неделю'!H58</f>
        <v>Гордиевич Е.И.</v>
      </c>
      <c r="D24" s="10" t="str">
        <f>'На неделю'!I58</f>
        <v xml:space="preserve">Ануфриева/Семенова </v>
      </c>
      <c r="E24" s="10" t="str">
        <f>'На неделю'!J58</f>
        <v>Осипова Н.А.</v>
      </c>
    </row>
    <row r="25" spans="1:5" x14ac:dyDescent="0.2">
      <c r="A25" s="112" t="str">
        <f>'На неделю'!F59</f>
        <v>--------------------------------</v>
      </c>
      <c r="B25" s="9" t="str">
        <f>'На неделю'!G59</f>
        <v>--------------------------------</v>
      </c>
      <c r="C25" s="9" t="str">
        <f>'На неделю'!H59</f>
        <v>--------------------------------</v>
      </c>
      <c r="D25" s="9" t="str">
        <f>'На неделю'!I59</f>
        <v>--------------------------------</v>
      </c>
      <c r="E25" s="9" t="str">
        <f>'На неделю'!J59</f>
        <v>--------------------------------</v>
      </c>
    </row>
    <row r="26" spans="1:5" x14ac:dyDescent="0.2">
      <c r="A26" s="112" t="str">
        <f>'На неделю'!F60</f>
        <v>--------------------------------</v>
      </c>
      <c r="B26" s="10" t="str">
        <f>'На неделю'!G60</f>
        <v>--------------------------------</v>
      </c>
      <c r="C26" s="10" t="str">
        <f>'На неделю'!H60</f>
        <v>--------------------------------</v>
      </c>
      <c r="D26" s="10" t="str">
        <f>'На неделю'!I60</f>
        <v>--------------------------------</v>
      </c>
      <c r="E26" s="10" t="str">
        <f>'На неделю'!J60</f>
        <v>--------------------------------</v>
      </c>
    </row>
    <row r="27" spans="1:5" s="56" customFormat="1" ht="12" x14ac:dyDescent="0.2">
      <c r="A27" s="70">
        <f>'На неделю'!F61</f>
        <v>0</v>
      </c>
      <c r="B27" s="70">
        <f>'На неделю'!G61</f>
        <v>0</v>
      </c>
      <c r="C27" s="70">
        <f>'На неделю'!H61</f>
        <v>0</v>
      </c>
      <c r="D27" s="70">
        <f>'На неделю'!I61</f>
        <v>0</v>
      </c>
      <c r="E27" s="70">
        <f>'На неделю'!J61</f>
        <v>0</v>
      </c>
    </row>
    <row r="28" spans="1:5" s="57" customFormat="1" ht="12" x14ac:dyDescent="0.2">
      <c r="A28" s="69">
        <f>'На неделю'!F62</f>
        <v>0</v>
      </c>
      <c r="B28" s="69">
        <f>'На неделю'!G62</f>
        <v>0</v>
      </c>
      <c r="C28" s="69">
        <f>'На неделю'!H62</f>
        <v>0</v>
      </c>
      <c r="D28" s="69">
        <f>'На неделю'!I62</f>
        <v>0</v>
      </c>
      <c r="E28" s="69">
        <f>'На неделю'!J62</f>
        <v>0</v>
      </c>
    </row>
    <row r="30" spans="1:5" ht="18" x14ac:dyDescent="0.2">
      <c r="A30" s="2" t="str">
        <f>'На неделю'!K2</f>
        <v>154</v>
      </c>
      <c r="B30" s="2" t="str">
        <f>'На неделю'!L2</f>
        <v>155</v>
      </c>
      <c r="C30" s="2" t="str">
        <f>'На неделю'!M2</f>
        <v>156</v>
      </c>
      <c r="D30" s="2" t="str">
        <f>'На неделю'!N2</f>
        <v>157</v>
      </c>
      <c r="E30" s="2" t="str">
        <f>'На неделю'!O2</f>
        <v>158</v>
      </c>
    </row>
    <row r="31" spans="1:5" s="56" customFormat="1" ht="12" x14ac:dyDescent="0.2">
      <c r="A31" s="70">
        <f>'На неделю'!K52</f>
        <v>0</v>
      </c>
      <c r="B31" s="70">
        <f>'На неделю'!L52</f>
        <v>0</v>
      </c>
      <c r="C31" s="70">
        <f>'На неделю'!M52</f>
        <v>0</v>
      </c>
      <c r="D31" s="70">
        <f>'На неделю'!N52</f>
        <v>0</v>
      </c>
      <c r="E31" s="70">
        <f>'На неделю'!O52</f>
        <v>0</v>
      </c>
    </row>
    <row r="32" spans="1:5" x14ac:dyDescent="0.2">
      <c r="A32" s="112" t="str">
        <f>'На неделю'!K53</f>
        <v>Физ. культура (Ст/Ч)</v>
      </c>
      <c r="B32" s="9" t="str">
        <f>'На неделю'!L53</f>
        <v>Биология 32 (11)</v>
      </c>
      <c r="C32" s="9" t="str">
        <f>'На неделю'!M53</f>
        <v>Химия 44 (18)</v>
      </c>
      <c r="D32" s="9" t="str">
        <f>'На неделю'!N53</f>
        <v>Черчение 12(2)</v>
      </c>
      <c r="E32" s="112" t="str">
        <f>'На неделю'!O53</f>
        <v>Бел.литература 35(14)</v>
      </c>
    </row>
    <row r="33" spans="1:5" x14ac:dyDescent="0.2">
      <c r="A33" s="10" t="str">
        <f>'На неделю'!K54</f>
        <v>Бел.литература 35(14)</v>
      </c>
      <c r="B33" s="10" t="str">
        <f>'На неделю'!L54</f>
        <v>Буевич С.В.</v>
      </c>
      <c r="C33" s="10" t="str">
        <f>'На неделю'!M54</f>
        <v>Федорцова А.Т.</v>
      </c>
      <c r="D33" s="10" t="str">
        <f>'На неделю'!N54</f>
        <v>Цыбульская Е.А.</v>
      </c>
      <c r="E33" s="10" t="str">
        <f>'На неделю'!O54</f>
        <v>Физ. культура (Ст/Ч)</v>
      </c>
    </row>
    <row r="34" spans="1:5" x14ac:dyDescent="0.2">
      <c r="A34" s="9" t="str">
        <f>'На неделю'!K55</f>
        <v>Пр.инф.2/Ин.в пр.1 31/43</v>
      </c>
      <c r="B34" s="9" t="str">
        <f>'На неделю'!L55</f>
        <v>Математика 45 (19)</v>
      </c>
      <c r="C34" s="9" t="str">
        <f>'На неделю'!M55</f>
        <v>Черчение 12(2)</v>
      </c>
      <c r="D34" s="9" t="str">
        <f>'На неделю'!N55</f>
        <v>Рус.язык 34 (13)</v>
      </c>
      <c r="E34" s="9" t="str">
        <f>'На неделю'!O55</f>
        <v>Бел.язык 35(14)</v>
      </c>
    </row>
    <row r="35" spans="1:5" x14ac:dyDescent="0.2">
      <c r="A35" s="10" t="str">
        <f>'На неделю'!K56</f>
        <v xml:space="preserve">Ануфриева/Степанова </v>
      </c>
      <c r="B35" s="10" t="str">
        <f>'На неделю'!L56</f>
        <v>Гончарова Ю.А.</v>
      </c>
      <c r="C35" s="10" t="str">
        <f>'На неделю'!M56</f>
        <v>Цыбульская Е.А.</v>
      </c>
      <c r="D35" s="10" t="str">
        <f>'На неделю'!N56</f>
        <v>Исакова Н.К.</v>
      </c>
      <c r="E35" s="10" t="str">
        <f>'На неделю'!O56</f>
        <v>Черненкова И.А.</v>
      </c>
    </row>
    <row r="36" spans="1:5" ht="12" customHeight="1" x14ac:dyDescent="0.2">
      <c r="A36" s="9" t="str">
        <f>'На неделю'!K57</f>
        <v>География 32 (11)</v>
      </c>
      <c r="B36" s="9" t="str">
        <f>'На неделю'!L57</f>
        <v>Черчение 12(2)</v>
      </c>
      <c r="C36" s="9" t="str">
        <f>'На неделю'!M57</f>
        <v>Математика 45 (19)</v>
      </c>
      <c r="D36" s="9" t="str">
        <f>'На неделю'!N57</f>
        <v>История Беларуси 21(5)</v>
      </c>
      <c r="E36" s="9" t="str">
        <f>'На неделю'!O57</f>
        <v>Физика 11 (1)</v>
      </c>
    </row>
    <row r="37" spans="1:5" ht="12" customHeight="1" x14ac:dyDescent="0.2">
      <c r="A37" s="10" t="str">
        <f>'На неделю'!K58</f>
        <v>Буевич С.В.</v>
      </c>
      <c r="B37" s="10" t="str">
        <f>'На неделю'!L58</f>
        <v>Цыбульская Е.А.</v>
      </c>
      <c r="C37" s="10" t="str">
        <f>'На неделю'!M58</f>
        <v>Гончарова Ю.А.</v>
      </c>
      <c r="D37" s="10" t="str">
        <f>'На неделю'!N58</f>
        <v>Сушинская Н.В.</v>
      </c>
      <c r="E37" s="10" t="str">
        <f>'На неделю'!O58</f>
        <v>Гаврилкина Л.П.</v>
      </c>
    </row>
    <row r="38" spans="1:5" x14ac:dyDescent="0.2">
      <c r="A38" s="9" t="str">
        <f>'На неделю'!K59</f>
        <v>--------------------------------</v>
      </c>
      <c r="B38" s="9" t="str">
        <f>'На неделю'!L59</f>
        <v>--------------------------------</v>
      </c>
      <c r="C38" s="9" t="str">
        <f>'На неделю'!M59</f>
        <v>--------------------------------</v>
      </c>
      <c r="D38" s="112" t="str">
        <f>'На неделю'!N59</f>
        <v>--------------------------------</v>
      </c>
      <c r="E38" s="112" t="str">
        <f>'На неделю'!O59</f>
        <v>--------------------------------</v>
      </c>
    </row>
    <row r="39" spans="1:5" x14ac:dyDescent="0.2">
      <c r="A39" s="10" t="str">
        <f>'На неделю'!K60</f>
        <v>--------------------------------</v>
      </c>
      <c r="B39" s="10" t="str">
        <f>'На неделю'!L60</f>
        <v>--------------------------------</v>
      </c>
      <c r="C39" s="10" t="str">
        <f>'На неделю'!M60</f>
        <v>--------------------------------</v>
      </c>
      <c r="D39" s="112" t="str">
        <f>'На неделю'!N60</f>
        <v>--------------------------------</v>
      </c>
      <c r="E39" s="112" t="str">
        <f>'На неделю'!O60</f>
        <v>--------------------------------</v>
      </c>
    </row>
    <row r="40" spans="1:5" s="56" customFormat="1" ht="12" x14ac:dyDescent="0.2">
      <c r="A40" s="70">
        <f>'На неделю'!K61</f>
        <v>0</v>
      </c>
      <c r="B40" s="70">
        <f>'На неделю'!L61</f>
        <v>0</v>
      </c>
      <c r="C40" s="70">
        <f>'На неделю'!M61</f>
        <v>0</v>
      </c>
      <c r="D40" s="70">
        <f>'На неделю'!N61</f>
        <v>0</v>
      </c>
      <c r="E40" s="70">
        <f>'На неделю'!O61</f>
        <v>0</v>
      </c>
    </row>
    <row r="41" spans="1:5" s="57" customFormat="1" ht="12" x14ac:dyDescent="0.2">
      <c r="A41" s="69">
        <f>'На неделю'!K62</f>
        <v>0</v>
      </c>
      <c r="B41" s="69">
        <f>'На неделю'!L62</f>
        <v>0</v>
      </c>
      <c r="C41" s="69">
        <f>'На неделю'!M62</f>
        <v>0</v>
      </c>
      <c r="D41" s="69">
        <f>'На неделю'!N62</f>
        <v>0</v>
      </c>
      <c r="E41" s="69">
        <f>'На неделю'!O62</f>
        <v>0</v>
      </c>
    </row>
    <row r="43" spans="1:5" ht="18" x14ac:dyDescent="0.2">
      <c r="A43" s="2" t="str">
        <f>'На неделю'!P2</f>
        <v>159</v>
      </c>
      <c r="B43" s="65" t="str">
        <f>'На неделю'!Q2</f>
        <v>160</v>
      </c>
      <c r="C43" s="65" t="str">
        <f>'На неделю'!R2</f>
        <v>161</v>
      </c>
      <c r="D43" s="146" t="s">
        <v>60</v>
      </c>
      <c r="E43" s="147"/>
    </row>
    <row r="44" spans="1:5" s="56" customFormat="1" x14ac:dyDescent="0.2">
      <c r="A44" s="70">
        <f>'На неделю'!P52</f>
        <v>0</v>
      </c>
      <c r="B44" s="114">
        <f>'На неделю'!R52</f>
        <v>0</v>
      </c>
      <c r="C44" s="81">
        <f>'На неделю'!S52</f>
        <v>0</v>
      </c>
      <c r="D44" s="134" t="s">
        <v>69</v>
      </c>
      <c r="E44" s="135"/>
    </row>
    <row r="45" spans="1:5" x14ac:dyDescent="0.2">
      <c r="A45" s="9" t="str">
        <f>'На неделю'!P53</f>
        <v>Физика 11 (1)</v>
      </c>
      <c r="B45" s="9" t="str">
        <f>'На неделю'!R53</f>
        <v>Основы экономики 25(9)</v>
      </c>
      <c r="C45" s="9">
        <f>'На неделю'!S53</f>
        <v>0</v>
      </c>
      <c r="D45" s="134" t="s">
        <v>61</v>
      </c>
      <c r="E45" s="135"/>
    </row>
    <row r="46" spans="1:5" x14ac:dyDescent="0.2">
      <c r="A46" s="10" t="str">
        <f>'На неделю'!P54</f>
        <v>Гаврилкина Л.П.</v>
      </c>
      <c r="B46" s="10" t="str">
        <f>'На неделю'!R54</f>
        <v>Осипова Н.А.</v>
      </c>
      <c r="C46" s="10">
        <f>'На неделю'!S54</f>
        <v>0</v>
      </c>
      <c r="D46" s="134" t="s">
        <v>62</v>
      </c>
      <c r="E46" s="135"/>
    </row>
    <row r="47" spans="1:5" x14ac:dyDescent="0.2">
      <c r="A47" s="9" t="str">
        <f>'На неделю'!P55</f>
        <v>География 32 (11)</v>
      </c>
      <c r="B47" s="9" t="str">
        <f>'На неделю'!R55</f>
        <v>Химия 44 (18)</v>
      </c>
      <c r="C47" s="9">
        <f>'На неделю'!S55</f>
        <v>0</v>
      </c>
      <c r="D47" s="134" t="s">
        <v>63</v>
      </c>
      <c r="E47" s="135"/>
    </row>
    <row r="48" spans="1:5" x14ac:dyDescent="0.2">
      <c r="A48" s="10" t="str">
        <f>'На неделю'!P56</f>
        <v>Буевич С.В.</v>
      </c>
      <c r="B48" s="10" t="str">
        <f>'На неделю'!R56</f>
        <v>Федорцова А.Т.</v>
      </c>
      <c r="C48" s="10">
        <f>'На неделю'!S56</f>
        <v>0</v>
      </c>
      <c r="D48" s="134" t="s">
        <v>64</v>
      </c>
      <c r="E48" s="135"/>
    </row>
    <row r="49" spans="1:5" x14ac:dyDescent="0.2">
      <c r="A49" s="9" t="str">
        <f>'На неделю'!P57</f>
        <v>ЗНТЧС 25(9)</v>
      </c>
      <c r="B49" s="9" t="str">
        <f>'На неделю'!R57</f>
        <v>Бел.литература 35(14)</v>
      </c>
      <c r="C49" s="9">
        <f>'На неделю'!S57</f>
        <v>0</v>
      </c>
      <c r="D49" s="134" t="s">
        <v>65</v>
      </c>
      <c r="E49" s="135"/>
    </row>
    <row r="50" spans="1:5" x14ac:dyDescent="0.2">
      <c r="A50" s="10" t="str">
        <f>'На неделю'!P58</f>
        <v>Страх В.М.</v>
      </c>
      <c r="B50" s="10" t="str">
        <f>'На неделю'!R58</f>
        <v>Черненкова И.А.</v>
      </c>
      <c r="C50" s="10">
        <f>'На неделю'!S58</f>
        <v>0</v>
      </c>
      <c r="D50" s="134" t="s">
        <v>66</v>
      </c>
      <c r="E50" s="135"/>
    </row>
    <row r="51" spans="1:5" x14ac:dyDescent="0.2">
      <c r="A51" s="9" t="str">
        <f>'На неделю'!P59</f>
        <v>--------------------------------</v>
      </c>
      <c r="B51" s="112" t="str">
        <f>'На неделю'!R59</f>
        <v>--------------------------------</v>
      </c>
      <c r="C51" s="83" t="str">
        <f>'На неделю'!S59</f>
        <v>--------------------------------</v>
      </c>
      <c r="D51" s="134" t="s">
        <v>67</v>
      </c>
      <c r="E51" s="135"/>
    </row>
    <row r="52" spans="1:5" x14ac:dyDescent="0.2">
      <c r="A52" s="10" t="str">
        <f>'На неделю'!P60</f>
        <v>--------------------------------</v>
      </c>
      <c r="B52" s="10" t="str">
        <f>'На неделю'!R60</f>
        <v>--------------------------------</v>
      </c>
      <c r="C52" s="10" t="str">
        <f>'На неделю'!S60</f>
        <v>--------------------------------</v>
      </c>
      <c r="D52" s="134" t="s">
        <v>68</v>
      </c>
      <c r="E52" s="135"/>
    </row>
    <row r="53" spans="1:5" s="56" customFormat="1" ht="12" x14ac:dyDescent="0.2">
      <c r="A53" s="70">
        <f>'На неделю'!P61</f>
        <v>0</v>
      </c>
      <c r="B53" s="70">
        <f>'На неделю'!R61</f>
        <v>0</v>
      </c>
      <c r="C53" s="81" t="str">
        <f>'На неделю'!S61</f>
        <v xml:space="preserve">                                      </v>
      </c>
      <c r="D53" s="70"/>
      <c r="E53" s="70">
        <f>'На неделю'!U37</f>
        <v>0</v>
      </c>
    </row>
    <row r="54" spans="1:5" s="57" customFormat="1" ht="12" x14ac:dyDescent="0.2">
      <c r="A54" s="69">
        <f>'На неделю'!P62</f>
        <v>0</v>
      </c>
      <c r="B54" s="69">
        <f>'На неделю'!R62</f>
        <v>0</v>
      </c>
      <c r="C54" s="82">
        <f>'На неделю'!S62</f>
        <v>0</v>
      </c>
      <c r="D54" s="69"/>
      <c r="E54" s="69">
        <f>'На неделю'!U38</f>
        <v>0</v>
      </c>
    </row>
    <row r="58" spans="1:5" x14ac:dyDescent="0.2">
      <c r="C58" t="s">
        <v>72</v>
      </c>
      <c r="D58" t="s">
        <v>153</v>
      </c>
    </row>
  </sheetData>
  <mergeCells count="13">
    <mergeCell ref="D50:E50"/>
    <mergeCell ref="D51:E51"/>
    <mergeCell ref="D52:E52"/>
    <mergeCell ref="D46:E46"/>
    <mergeCell ref="D43:E43"/>
    <mergeCell ref="D47:E47"/>
    <mergeCell ref="D48:E48"/>
    <mergeCell ref="D49:E49"/>
    <mergeCell ref="A1:E1"/>
    <mergeCell ref="A3:E3"/>
    <mergeCell ref="A2:E2"/>
    <mergeCell ref="D44:E44"/>
    <mergeCell ref="D45:E45"/>
  </mergeCells>
  <phoneticPr fontId="18" type="noConversion"/>
  <conditionalFormatting sqref="A1:E4 A5:XFD5 A6:E13 A14:XFD15 A16:E17 A18:XFD18 A19:E26 A27:XFD28 A29:E30 A31:XFD31 A32:E39 A40:XFD41 A42:E42 A43:C54 F44:IV44 A55:E58">
    <cfRule type="cellIs" dxfId="3" priority="16" stopIfTrue="1" operator="equal">
      <formula>0</formula>
    </cfRule>
  </conditionalFormatting>
  <conditionalFormatting sqref="D44:D52">
    <cfRule type="expression" dxfId="2" priority="1" stopIfTrue="1">
      <formula>COUNTIF($A44:$P44,D44)&gt;1</formula>
    </cfRule>
  </conditionalFormatting>
  <conditionalFormatting sqref="D53:IV54">
    <cfRule type="cellIs" dxfId="1" priority="15" stopIfTrue="1" operator="equal">
      <formula>0</formula>
    </cfRule>
  </conditionalFormatting>
  <pageMargins left="0" right="0" top="0" bottom="0" header="0" footer="0"/>
  <pageSetup paperSize="9" scale="91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522BA-CD8E-4DAB-97E7-C08B8E63DBC7}">
  <dimension ref="A1:E58"/>
  <sheetViews>
    <sheetView showGridLines="0" showZeros="0" view="pageBreakPreview" zoomScaleNormal="100" workbookViewId="0">
      <selection activeCell="D40" sqref="D40"/>
    </sheetView>
  </sheetViews>
  <sheetFormatPr defaultRowHeight="12.75" x14ac:dyDescent="0.2"/>
  <cols>
    <col min="1" max="5" width="20.7109375" customWidth="1"/>
  </cols>
  <sheetData>
    <row r="1" spans="1:5" ht="20.25" x14ac:dyDescent="0.3">
      <c r="A1" s="167" t="s">
        <v>6</v>
      </c>
      <c r="B1" s="167"/>
      <c r="C1" s="167"/>
      <c r="D1" s="167"/>
      <c r="E1" s="167"/>
    </row>
    <row r="2" spans="1:5" ht="20.25" x14ac:dyDescent="0.3">
      <c r="A2" s="167" t="s">
        <v>10</v>
      </c>
      <c r="B2" s="167"/>
      <c r="C2" s="167"/>
      <c r="D2" s="167"/>
      <c r="E2" s="167"/>
    </row>
    <row r="3" spans="1:5" ht="20.25" x14ac:dyDescent="0.3">
      <c r="A3" s="168">
        <f>Пятница!A3+1</f>
        <v>46271</v>
      </c>
      <c r="B3" s="168"/>
      <c r="C3" s="168"/>
      <c r="D3" s="168"/>
      <c r="E3" s="168"/>
    </row>
    <row r="4" spans="1:5" ht="18" x14ac:dyDescent="0.2">
      <c r="A4" s="59" t="str">
        <f>'На неделю'!A2</f>
        <v>144</v>
      </c>
      <c r="B4" s="59" t="str">
        <f>'На неделю'!B2</f>
        <v>145</v>
      </c>
      <c r="C4" s="59" t="str">
        <f>'На неделю'!C2</f>
        <v>146</v>
      </c>
      <c r="D4" s="59" t="str">
        <f>'На неделю'!D2</f>
        <v>147</v>
      </c>
      <c r="E4" s="59" t="str">
        <f>'На неделю'!E2</f>
        <v>148</v>
      </c>
    </row>
    <row r="5" spans="1:5" s="60" customFormat="1" ht="12" x14ac:dyDescent="0.2">
      <c r="A5" s="85">
        <f>'На неделю'!A65</f>
        <v>0</v>
      </c>
      <c r="B5" s="85">
        <f>'На неделю'!B65</f>
        <v>0</v>
      </c>
      <c r="C5" s="85">
        <f>'На неделю'!C65</f>
        <v>0</v>
      </c>
      <c r="D5" s="85">
        <f>'На неделю'!D65</f>
        <v>0</v>
      </c>
      <c r="E5" s="85">
        <f>'На неделю'!E65</f>
        <v>0</v>
      </c>
    </row>
    <row r="6" spans="1:5" s="87" customFormat="1" x14ac:dyDescent="0.2">
      <c r="A6" s="9">
        <f>'На неделю'!A66</f>
        <v>0</v>
      </c>
      <c r="B6" s="9">
        <f>'На неделю'!B66</f>
        <v>0</v>
      </c>
      <c r="C6" s="9">
        <f>'На неделю'!C66</f>
        <v>0</v>
      </c>
      <c r="D6" s="9">
        <f>'На неделю'!D66</f>
        <v>0</v>
      </c>
      <c r="E6" s="9">
        <f>'На неделю'!E66</f>
        <v>0</v>
      </c>
    </row>
    <row r="7" spans="1:5" s="89" customFormat="1" x14ac:dyDescent="0.2">
      <c r="A7" s="10">
        <f>'На неделю'!A67</f>
        <v>0</v>
      </c>
      <c r="B7" s="10">
        <f>'На неделю'!B67</f>
        <v>0</v>
      </c>
      <c r="C7" s="10">
        <f>'На неделю'!C67</f>
        <v>0</v>
      </c>
      <c r="D7" s="10">
        <f>'На неделю'!D67</f>
        <v>0</v>
      </c>
      <c r="E7" s="10">
        <f>'На неделю'!E67</f>
        <v>0</v>
      </c>
    </row>
    <row r="8" spans="1:5" s="87" customFormat="1" x14ac:dyDescent="0.2">
      <c r="A8" s="9">
        <f>'На неделю'!A68</f>
        <v>0</v>
      </c>
      <c r="B8" s="9">
        <f>'На неделю'!B68</f>
        <v>0</v>
      </c>
      <c r="C8" s="9">
        <f>'На неделю'!C68</f>
        <v>0</v>
      </c>
      <c r="D8" s="9">
        <f>'На неделю'!D68</f>
        <v>0</v>
      </c>
      <c r="E8" s="9">
        <f>'На неделю'!E68</f>
        <v>0</v>
      </c>
    </row>
    <row r="9" spans="1:5" s="89" customFormat="1" x14ac:dyDescent="0.2">
      <c r="A9" s="10">
        <f>'На неделю'!A69</f>
        <v>0</v>
      </c>
      <c r="B9" s="10" t="str">
        <f>'На неделю'!B69</f>
        <v>П/О</v>
      </c>
      <c r="C9" s="10" t="str">
        <f>'На неделю'!C69</f>
        <v>П/О</v>
      </c>
      <c r="D9" s="10" t="str">
        <f>'На неделю'!D69</f>
        <v>П/О</v>
      </c>
      <c r="E9" s="10" t="str">
        <f>'На неделю'!E69</f>
        <v>П/О</v>
      </c>
    </row>
    <row r="10" spans="1:5" s="87" customFormat="1" x14ac:dyDescent="0.2">
      <c r="A10" s="9">
        <f>'На неделю'!A70</f>
        <v>0</v>
      </c>
      <c r="B10" s="9" t="str">
        <f>'На неделю'!B70</f>
        <v>12.30</v>
      </c>
      <c r="C10" s="9">
        <f>'На неделю'!C70</f>
        <v>0</v>
      </c>
      <c r="D10" s="9">
        <f>'На неделю'!D70</f>
        <v>0</v>
      </c>
      <c r="E10" s="9">
        <f>'На неделю'!E70</f>
        <v>0</v>
      </c>
    </row>
    <row r="11" spans="1:5" s="89" customFormat="1" x14ac:dyDescent="0.2">
      <c r="A11" s="10">
        <f>'На неделю'!A71</f>
        <v>0</v>
      </c>
      <c r="B11" s="10" t="str">
        <f>'На неделю'!B71</f>
        <v>Эл.офис 2 33</v>
      </c>
      <c r="C11" s="10">
        <f>'На неделю'!C71</f>
        <v>0</v>
      </c>
      <c r="D11" s="10">
        <f>'На неделю'!D71</f>
        <v>0</v>
      </c>
      <c r="E11" s="10">
        <f>'На неделю'!E71</f>
        <v>0</v>
      </c>
    </row>
    <row r="12" spans="1:5" s="87" customFormat="1" x14ac:dyDescent="0.2">
      <c r="A12" s="9">
        <f>'На неделю'!A72</f>
        <v>0</v>
      </c>
      <c r="B12" s="9" t="str">
        <f>'На неделю'!B72</f>
        <v>Харкевич О.А.</v>
      </c>
      <c r="C12" s="9">
        <f>'На неделю'!C72</f>
        <v>0</v>
      </c>
      <c r="D12" s="9">
        <f>'На неделю'!D72</f>
        <v>0</v>
      </c>
      <c r="E12" s="9">
        <f>'На неделю'!E72</f>
        <v>0</v>
      </c>
    </row>
    <row r="13" spans="1:5" s="89" customFormat="1" x14ac:dyDescent="0.2">
      <c r="A13" s="10">
        <f>'На неделю'!A73</f>
        <v>0</v>
      </c>
      <c r="B13" s="10">
        <f>'На неделю'!B73</f>
        <v>0</v>
      </c>
      <c r="C13" s="10">
        <f>'На неделю'!C73</f>
        <v>0</v>
      </c>
      <c r="D13" s="10">
        <f>'На неделю'!D73</f>
        <v>0</v>
      </c>
      <c r="E13" s="10">
        <f>'На неделю'!E73</f>
        <v>0</v>
      </c>
    </row>
    <row r="14" spans="1:5" s="58" customFormat="1" ht="12" x14ac:dyDescent="0.2">
      <c r="A14" s="86">
        <f>'На неделю'!A74</f>
        <v>0</v>
      </c>
      <c r="B14" s="86">
        <f>'На неделю'!B74</f>
        <v>0</v>
      </c>
      <c r="C14" s="86">
        <f>'На неделю'!C74</f>
        <v>0</v>
      </c>
      <c r="D14" s="86">
        <f>'На неделю'!D74</f>
        <v>0</v>
      </c>
      <c r="E14" s="86">
        <f>'На неделю'!E74</f>
        <v>0</v>
      </c>
    </row>
    <row r="15" spans="1:5" s="57" customFormat="1" ht="12" x14ac:dyDescent="0.2">
      <c r="A15" s="88">
        <f>'На неделю'!A75</f>
        <v>0</v>
      </c>
      <c r="B15" s="88">
        <f>'На неделю'!B75</f>
        <v>0</v>
      </c>
      <c r="C15" s="88">
        <f>'На неделю'!C75</f>
        <v>0</v>
      </c>
      <c r="D15" s="88">
        <f>'На неделю'!D75</f>
        <v>0</v>
      </c>
      <c r="E15" s="88">
        <f>'На неделю'!E75</f>
        <v>0</v>
      </c>
    </row>
    <row r="17" spans="1:5" ht="18" x14ac:dyDescent="0.2">
      <c r="A17" s="59" t="str">
        <f>'На неделю'!F2</f>
        <v>149</v>
      </c>
      <c r="B17" s="59" t="str">
        <f>'На неделю'!G2</f>
        <v>150</v>
      </c>
      <c r="C17" s="59" t="str">
        <f>'На неделю'!H2</f>
        <v>151</v>
      </c>
      <c r="D17" s="59" t="str">
        <f>'На неделю'!I2</f>
        <v>152</v>
      </c>
      <c r="E17" s="59" t="str">
        <f>'На неделю'!J2</f>
        <v>153</v>
      </c>
    </row>
    <row r="18" spans="1:5" s="60" customFormat="1" ht="12" x14ac:dyDescent="0.2">
      <c r="A18" s="85">
        <f>'На неделю'!F65</f>
        <v>0</v>
      </c>
      <c r="B18" s="85">
        <f>'На неделю'!G65</f>
        <v>0</v>
      </c>
      <c r="C18" s="85">
        <f>'На неделю'!H65</f>
        <v>0</v>
      </c>
      <c r="D18" s="85">
        <f>'На неделю'!I65</f>
        <v>0</v>
      </c>
      <c r="E18" s="85">
        <f>'На неделю'!J65</f>
        <v>0</v>
      </c>
    </row>
    <row r="19" spans="1:5" s="87" customFormat="1" x14ac:dyDescent="0.2">
      <c r="A19" s="9" t="str">
        <f>'На неделю'!F66</f>
        <v>ОС 1/Оф.прогр.2 33/43</v>
      </c>
      <c r="B19" s="9" t="str">
        <f>'На неделю'!G66</f>
        <v>Оргтехн.1/ОВТ 2 26/23</v>
      </c>
      <c r="C19" s="9" t="str">
        <f>'На неделю'!H66</f>
        <v>--------------------------------</v>
      </c>
      <c r="D19" s="9">
        <f>'На неделю'!I66</f>
        <v>0</v>
      </c>
      <c r="E19" s="9" t="str">
        <f>'На неделю'!J66</f>
        <v>Математика 13</v>
      </c>
    </row>
    <row r="20" spans="1:5" s="89" customFormat="1" x14ac:dyDescent="0.2">
      <c r="A20" s="10" t="str">
        <f>'На неделю'!F67</f>
        <v>Клюева/Ануфриева</v>
      </c>
      <c r="B20" s="10" t="str">
        <f>'На неделю'!G67</f>
        <v>Вербанов/Гаркуша</v>
      </c>
      <c r="C20" s="10" t="str">
        <f>'На неделю'!H67</f>
        <v>--------------------------------</v>
      </c>
      <c r="D20" s="10">
        <f>'На неделю'!I67</f>
        <v>0</v>
      </c>
      <c r="E20" s="10" t="str">
        <f>'На неделю'!J67</f>
        <v>Кудрец Д.А.</v>
      </c>
    </row>
    <row r="21" spans="1:5" s="87" customFormat="1" x14ac:dyDescent="0.2">
      <c r="A21" s="9" t="str">
        <f>'На неделю'!F68</f>
        <v>ОС 2/Оф.прогр.1 33/43</v>
      </c>
      <c r="B21" s="9" t="str">
        <f>'На неделю'!G68</f>
        <v>Оргтехн.2/ОВТ 1 26/23</v>
      </c>
      <c r="C21" s="9" t="str">
        <f>'На неделю'!H68</f>
        <v>Спец.технология 23</v>
      </c>
      <c r="D21" s="9">
        <f>'На неделю'!I68</f>
        <v>0</v>
      </c>
      <c r="E21" s="9" t="str">
        <f>'На неделю'!J68</f>
        <v>Физическая культура</v>
      </c>
    </row>
    <row r="22" spans="1:5" s="89" customFormat="1" x14ac:dyDescent="0.2">
      <c r="A22" s="10" t="str">
        <f>'На неделю'!F69</f>
        <v>Клюева/Ануфриева</v>
      </c>
      <c r="B22" s="10" t="str">
        <f>'На неделю'!G69</f>
        <v>Вербанов/Гаркуша</v>
      </c>
      <c r="C22" s="10" t="str">
        <f>'На неделю'!H69</f>
        <v>Гайлюн Г.В.</v>
      </c>
      <c r="D22" s="10" t="str">
        <f>'На неделю'!I69</f>
        <v>П/О</v>
      </c>
      <c r="E22" s="10" t="str">
        <f>'На неделю'!J69</f>
        <v>Селистровский/Шурман</v>
      </c>
    </row>
    <row r="23" spans="1:5" x14ac:dyDescent="0.2">
      <c r="A23" s="9" t="str">
        <f>'На неделю'!F70</f>
        <v>Белорусский язык 53</v>
      </c>
      <c r="B23" s="9" t="str">
        <f>'На неделю'!G70</f>
        <v>Математика 13</v>
      </c>
      <c r="C23" s="9" t="str">
        <f>'На неделю'!H70</f>
        <v>Математика 23</v>
      </c>
      <c r="D23" s="9">
        <f>'На неделю'!I70</f>
        <v>0</v>
      </c>
      <c r="E23" s="9" t="str">
        <f>'На неделю'!J70</f>
        <v>Англ.в пр.1/Оф.пр.2 42/43</v>
      </c>
    </row>
    <row r="24" spans="1:5" x14ac:dyDescent="0.2">
      <c r="A24" s="10" t="str">
        <f>'На неделю'!F71</f>
        <v>Шашкова С.И.</v>
      </c>
      <c r="B24" s="10" t="str">
        <f>'На неделю'!G71</f>
        <v>Кудрец Д.А.</v>
      </c>
      <c r="C24" s="10" t="str">
        <f>'На неделю'!H71</f>
        <v>Никон В.А.</v>
      </c>
      <c r="D24" s="10">
        <f>'На неделю'!I71</f>
        <v>0</v>
      </c>
      <c r="E24" s="10" t="str">
        <f>'На неделю'!J71</f>
        <v>Сердюк/Ануфриева</v>
      </c>
    </row>
    <row r="25" spans="1:5" x14ac:dyDescent="0.2">
      <c r="A25" s="9" t="str">
        <f>'На неделю'!F72</f>
        <v>Математика 13</v>
      </c>
      <c r="B25" s="9" t="str">
        <f>'На неделю'!G72</f>
        <v>Белорусский язык 53</v>
      </c>
      <c r="C25" s="9" t="str">
        <f>'На неделю'!H72</f>
        <v>Спец.технология 52</v>
      </c>
      <c r="D25" s="9">
        <f>'На неделю'!I72</f>
        <v>0</v>
      </c>
      <c r="E25" s="9" t="str">
        <f>'На неделю'!J72</f>
        <v>Англ.в пр.2/Оф.пр.1 42/43</v>
      </c>
    </row>
    <row r="26" spans="1:5" x14ac:dyDescent="0.2">
      <c r="A26" s="10" t="str">
        <f>'На неделю'!F73</f>
        <v>Власова Е.В.</v>
      </c>
      <c r="B26" s="10" t="str">
        <f>'На неделю'!G73</f>
        <v>Шашкова С.И.</v>
      </c>
      <c r="C26" s="10" t="str">
        <f>'На неделю'!H73</f>
        <v>Гайлюн Г.В.</v>
      </c>
      <c r="D26" s="10">
        <f>'На неделю'!I73</f>
        <v>0</v>
      </c>
      <c r="E26" s="10" t="str">
        <f>'На неделю'!J73</f>
        <v>Сердюк/Ануфриева</v>
      </c>
    </row>
    <row r="27" spans="1:5" s="56" customFormat="1" ht="12" x14ac:dyDescent="0.2">
      <c r="A27" s="86">
        <f>'На неделю'!F74</f>
        <v>0</v>
      </c>
      <c r="B27" s="86">
        <f>'На неделю'!G74</f>
        <v>0</v>
      </c>
      <c r="C27" s="86">
        <f>'На неделю'!H74</f>
        <v>0</v>
      </c>
      <c r="D27" s="86">
        <f>'На неделю'!I74</f>
        <v>0</v>
      </c>
      <c r="E27" s="86">
        <f>'На неделю'!J74</f>
        <v>0</v>
      </c>
    </row>
    <row r="28" spans="1:5" s="57" customFormat="1" ht="12" x14ac:dyDescent="0.2">
      <c r="A28" s="88">
        <f>'На неделю'!F75</f>
        <v>0</v>
      </c>
      <c r="B28" s="88">
        <f>'На неделю'!G75</f>
        <v>0</v>
      </c>
      <c r="C28" s="88">
        <f>'На неделю'!H75</f>
        <v>0</v>
      </c>
      <c r="D28" s="88">
        <f>'На неделю'!I75</f>
        <v>0</v>
      </c>
      <c r="E28" s="88">
        <f>'На неделю'!J75</f>
        <v>0</v>
      </c>
    </row>
    <row r="30" spans="1:5" ht="18" x14ac:dyDescent="0.2">
      <c r="A30" s="2" t="str">
        <f>'На неделю'!K2</f>
        <v>154</v>
      </c>
      <c r="B30" s="2" t="str">
        <f>'На неделю'!L2</f>
        <v>155</v>
      </c>
      <c r="C30" s="2" t="str">
        <f>'На неделю'!M2</f>
        <v>156</v>
      </c>
      <c r="D30" s="2" t="str">
        <f>'На неделю'!N2</f>
        <v>157</v>
      </c>
      <c r="E30" s="2" t="str">
        <f>'На неделю'!O2</f>
        <v>158</v>
      </c>
    </row>
    <row r="31" spans="1:5" s="56" customFormat="1" ht="12" x14ac:dyDescent="0.2">
      <c r="A31" s="84">
        <f>'На неделю'!K65</f>
        <v>0</v>
      </c>
      <c r="B31" s="84">
        <f>'На неделю'!L65</f>
        <v>0</v>
      </c>
      <c r="C31" s="84">
        <f>'На неделю'!M65</f>
        <v>0</v>
      </c>
      <c r="D31" s="84">
        <f>'На неделю'!N65</f>
        <v>0</v>
      </c>
      <c r="E31" s="84">
        <f>'На неделю'!O65</f>
        <v>0</v>
      </c>
    </row>
    <row r="32" spans="1:5" x14ac:dyDescent="0.2">
      <c r="A32" s="9">
        <f>'На неделю'!K66</f>
        <v>0</v>
      </c>
      <c r="B32" s="9" t="str">
        <f>'На неделю'!L66</f>
        <v>Физическая культура</v>
      </c>
      <c r="C32" s="9" t="str">
        <f>'На неделю'!M66</f>
        <v>--------------------------------</v>
      </c>
      <c r="D32" s="9">
        <f>'На неделю'!N66</f>
        <v>0</v>
      </c>
      <c r="E32" s="9">
        <f>'На неделю'!O66</f>
        <v>0</v>
      </c>
    </row>
    <row r="33" spans="1:5" x14ac:dyDescent="0.2">
      <c r="A33" s="10">
        <f>'На неделю'!K67</f>
        <v>0</v>
      </c>
      <c r="B33" s="10" t="str">
        <f>'На неделю'!L67</f>
        <v>Шурман Е.В.</v>
      </c>
      <c r="C33" s="10" t="str">
        <f>'На неделю'!M67</f>
        <v>--------------------------------</v>
      </c>
      <c r="D33" s="10">
        <f>'На неделю'!N67</f>
        <v>0</v>
      </c>
      <c r="E33" s="10">
        <f>'На неделю'!O67</f>
        <v>0</v>
      </c>
    </row>
    <row r="34" spans="1:5" x14ac:dyDescent="0.2">
      <c r="A34" s="9">
        <f>'На неделю'!K68</f>
        <v>0</v>
      </c>
      <c r="B34" s="9" t="str">
        <f>'На неделю'!L68</f>
        <v>Математика 13</v>
      </c>
      <c r="C34" s="9" t="str">
        <f>'На неделю'!M68</f>
        <v>Белорусский язык 53</v>
      </c>
      <c r="D34" s="9">
        <f>'На неделю'!N68</f>
        <v>0</v>
      </c>
      <c r="E34" s="9">
        <f>'На неделю'!O68</f>
        <v>0</v>
      </c>
    </row>
    <row r="35" spans="1:5" x14ac:dyDescent="0.2">
      <c r="A35" s="10" t="str">
        <f>'На неделю'!K69</f>
        <v>П/О</v>
      </c>
      <c r="B35" s="10" t="str">
        <f>'На неделю'!L69</f>
        <v>Кудрец Д.А.</v>
      </c>
      <c r="C35" s="10" t="str">
        <f>'На неделю'!M69</f>
        <v>Шашкова С.И.</v>
      </c>
      <c r="D35" s="10" t="str">
        <f>'На неделю'!N69</f>
        <v>П/О</v>
      </c>
      <c r="E35" s="10">
        <f>'На неделю'!O69</f>
        <v>0</v>
      </c>
    </row>
    <row r="36" spans="1:5" ht="12" customHeight="1" x14ac:dyDescent="0.2">
      <c r="A36" s="9">
        <f>'На неделю'!K70</f>
        <v>0</v>
      </c>
      <c r="B36" s="9" t="str">
        <f>'На неделю'!L70</f>
        <v>География 52</v>
      </c>
      <c r="C36" s="9" t="str">
        <f>'На неделю'!M70</f>
        <v>Физическая культура</v>
      </c>
      <c r="D36" s="9">
        <f>'На неделю'!N70</f>
        <v>0</v>
      </c>
      <c r="E36" s="9">
        <f>'На неделю'!O70</f>
        <v>0</v>
      </c>
    </row>
    <row r="37" spans="1:5" ht="12" customHeight="1" x14ac:dyDescent="0.2">
      <c r="A37" s="10">
        <f>'На неделю'!K71</f>
        <v>0</v>
      </c>
      <c r="B37" s="10" t="str">
        <f>'На неделю'!L71</f>
        <v>Широкая Е.В.</v>
      </c>
      <c r="C37" s="10" t="str">
        <f>'На неделю'!M71</f>
        <v>Шурман Е.В.</v>
      </c>
      <c r="D37" s="10">
        <f>'На неделю'!N71</f>
        <v>0</v>
      </c>
      <c r="E37" s="10">
        <f>'На неделю'!O71</f>
        <v>0</v>
      </c>
    </row>
    <row r="38" spans="1:5" x14ac:dyDescent="0.2">
      <c r="A38" s="9">
        <f>'На неделю'!K72</f>
        <v>0</v>
      </c>
      <c r="B38" s="9" t="str">
        <f>'На неделю'!L72</f>
        <v>Спец.технология 23</v>
      </c>
      <c r="C38" s="9" t="str">
        <f>'На неделю'!M72</f>
        <v>Материаловедение 26</v>
      </c>
      <c r="D38" s="9">
        <f>'На неделю'!N72</f>
        <v>0</v>
      </c>
      <c r="E38" s="9">
        <f>'На неделю'!O72</f>
        <v>0</v>
      </c>
    </row>
    <row r="39" spans="1:5" x14ac:dyDescent="0.2">
      <c r="A39" s="10">
        <f>'На неделю'!K73</f>
        <v>0</v>
      </c>
      <c r="B39" s="10" t="str">
        <f>'На неделю'!L73</f>
        <v>Никон В.А.</v>
      </c>
      <c r="C39" s="10" t="str">
        <f>'На неделю'!M73</f>
        <v>Полынский А.А.</v>
      </c>
      <c r="D39" s="10">
        <f>'На неделю'!N73</f>
        <v>0</v>
      </c>
      <c r="E39" s="10">
        <f>'На неделю'!O73</f>
        <v>0</v>
      </c>
    </row>
    <row r="40" spans="1:5" s="56" customFormat="1" ht="12" x14ac:dyDescent="0.2">
      <c r="A40" s="86">
        <f>'На неделю'!K74</f>
        <v>0</v>
      </c>
      <c r="B40" s="86">
        <f>'На неделю'!L74</f>
        <v>0</v>
      </c>
      <c r="C40" s="86">
        <f>'На неделю'!M74</f>
        <v>0</v>
      </c>
      <c r="D40" s="86">
        <f>'На неделю'!N74</f>
        <v>0</v>
      </c>
      <c r="E40" s="86">
        <f>'На неделю'!O74</f>
        <v>0</v>
      </c>
    </row>
    <row r="41" spans="1:5" s="57" customFormat="1" ht="12" x14ac:dyDescent="0.2">
      <c r="A41" s="88">
        <f>'На неделю'!K75</f>
        <v>0</v>
      </c>
      <c r="B41" s="88">
        <f>'На неделю'!L75</f>
        <v>0</v>
      </c>
      <c r="C41" s="88">
        <f>'На неделю'!M75</f>
        <v>0</v>
      </c>
      <c r="D41" s="88">
        <f>'На неделю'!N75</f>
        <v>0</v>
      </c>
      <c r="E41" s="88">
        <f>'На неделю'!O75</f>
        <v>0</v>
      </c>
    </row>
    <row r="43" spans="1:5" ht="18" x14ac:dyDescent="0.2">
      <c r="A43" s="2" t="str">
        <f>'На неделю'!P2</f>
        <v>159</v>
      </c>
      <c r="B43" s="65" t="str">
        <f>'На неделю'!Q2</f>
        <v>160</v>
      </c>
      <c r="C43" s="65" t="str">
        <f>'На неделю'!R2</f>
        <v>161</v>
      </c>
      <c r="D43" s="2" t="s">
        <v>114</v>
      </c>
      <c r="E43" s="2" t="s">
        <v>115</v>
      </c>
    </row>
    <row r="44" spans="1:5" s="56" customFormat="1" ht="12" x14ac:dyDescent="0.2">
      <c r="A44" s="70">
        <f>'На неделю'!P65</f>
        <v>0</v>
      </c>
      <c r="B44" s="84">
        <f>'На неделю'!Q65</f>
        <v>0</v>
      </c>
      <c r="C44" s="84">
        <f>'На неделю'!R65</f>
        <v>0</v>
      </c>
      <c r="D44" s="70"/>
      <c r="E44" s="70"/>
    </row>
    <row r="45" spans="1:5" x14ac:dyDescent="0.2">
      <c r="A45" s="9">
        <f>'На неделю'!P66</f>
        <v>0</v>
      </c>
      <c r="B45" s="121">
        <f>'На неделю'!Q66</f>
        <v>0</v>
      </c>
      <c r="C45" s="121">
        <f>'На неделю'!R66</f>
        <v>0</v>
      </c>
      <c r="D45" s="9"/>
      <c r="E45" s="9"/>
    </row>
    <row r="46" spans="1:5" x14ac:dyDescent="0.2">
      <c r="A46" s="10">
        <f>'На неделю'!P67</f>
        <v>0</v>
      </c>
      <c r="B46" s="122">
        <f>'На неделю'!Q67</f>
        <v>0</v>
      </c>
      <c r="C46" s="122">
        <f>'На неделю'!R67</f>
        <v>0</v>
      </c>
      <c r="D46" s="10"/>
      <c r="E46" s="10"/>
    </row>
    <row r="47" spans="1:5" x14ac:dyDescent="0.2">
      <c r="A47" s="9">
        <f>'На неделю'!P68</f>
        <v>0</v>
      </c>
      <c r="B47" s="121">
        <f>'На неделю'!Q68</f>
        <v>0</v>
      </c>
      <c r="C47" s="121">
        <f>'На неделю'!R68</f>
        <v>0</v>
      </c>
      <c r="D47" s="9"/>
      <c r="E47" s="9"/>
    </row>
    <row r="48" spans="1:5" x14ac:dyDescent="0.2">
      <c r="A48" s="10">
        <f>'На неделю'!P69</f>
        <v>0</v>
      </c>
      <c r="B48" s="122">
        <f>'На неделю'!Q69</f>
        <v>0</v>
      </c>
      <c r="C48" s="122">
        <f>'На неделю'!R69</f>
        <v>0</v>
      </c>
      <c r="D48" s="10"/>
      <c r="E48" s="10"/>
    </row>
    <row r="49" spans="1:5" x14ac:dyDescent="0.2">
      <c r="A49" s="9">
        <f>'На неделю'!P70</f>
        <v>0</v>
      </c>
      <c r="B49" s="121">
        <f>'На неделю'!Q70</f>
        <v>0</v>
      </c>
      <c r="C49" s="121">
        <f>'На неделю'!R70</f>
        <v>0</v>
      </c>
      <c r="D49" s="9"/>
      <c r="E49" s="9"/>
    </row>
    <row r="50" spans="1:5" x14ac:dyDescent="0.2">
      <c r="A50" s="10">
        <f>'На неделю'!P71</f>
        <v>0</v>
      </c>
      <c r="B50" s="122">
        <f>'На неделю'!Q71</f>
        <v>0</v>
      </c>
      <c r="C50" s="122">
        <f>'На неделю'!R71</f>
        <v>0</v>
      </c>
      <c r="D50" s="10"/>
      <c r="E50" s="10"/>
    </row>
    <row r="51" spans="1:5" x14ac:dyDescent="0.2">
      <c r="A51" s="9">
        <f>'На неделю'!P72</f>
        <v>0</v>
      </c>
      <c r="B51" s="121">
        <f>'На неделю'!Q72</f>
        <v>0</v>
      </c>
      <c r="C51" s="121">
        <f>'На неделю'!R72</f>
        <v>0</v>
      </c>
      <c r="D51" s="9"/>
      <c r="E51" s="9"/>
    </row>
    <row r="52" spans="1:5" x14ac:dyDescent="0.2">
      <c r="A52" s="10">
        <f>'На неделю'!P73</f>
        <v>0</v>
      </c>
      <c r="B52" s="122">
        <f>'На неделю'!Q73</f>
        <v>0</v>
      </c>
      <c r="C52" s="122">
        <f>'На неделю'!R73</f>
        <v>0</v>
      </c>
      <c r="D52" s="10"/>
      <c r="E52" s="10"/>
    </row>
    <row r="53" spans="1:5" s="56" customFormat="1" ht="12" x14ac:dyDescent="0.2">
      <c r="A53" s="86">
        <f>'На неделю'!P74</f>
        <v>0</v>
      </c>
      <c r="B53" s="86">
        <f>'На неделю'!Q74</f>
        <v>0</v>
      </c>
      <c r="C53" s="86">
        <f>'На неделю'!R74</f>
        <v>0</v>
      </c>
      <c r="D53" s="70"/>
      <c r="E53" s="70"/>
    </row>
    <row r="54" spans="1:5" s="57" customFormat="1" ht="12" x14ac:dyDescent="0.2">
      <c r="A54" s="88">
        <f>'На неделю'!P75</f>
        <v>0</v>
      </c>
      <c r="B54" s="88">
        <f>'На неделю'!Q75</f>
        <v>0</v>
      </c>
      <c r="C54" s="88">
        <f>'На неделю'!S75</f>
        <v>0</v>
      </c>
      <c r="D54" s="69"/>
      <c r="E54" s="69"/>
    </row>
    <row r="58" spans="1:5" x14ac:dyDescent="0.2">
      <c r="C58" t="s">
        <v>73</v>
      </c>
      <c r="D58" t="s">
        <v>153</v>
      </c>
    </row>
  </sheetData>
  <mergeCells count="3">
    <mergeCell ref="A1:E1"/>
    <mergeCell ref="A3:E3"/>
    <mergeCell ref="A2:E2"/>
  </mergeCells>
  <phoneticPr fontId="18" type="noConversion"/>
  <conditionalFormatting sqref="A1:E43 F5:IV5 F14:IV15 F18:IV18 F27:IV28 F31:IV31 F40:IV41 A55:E58 D53:XFD54 D45:E52 D44:XFD44 A44:C54">
    <cfRule type="cellIs" dxfId="0" priority="1" stopIfTrue="1" operator="equal">
      <formula>0</formula>
    </cfRule>
  </conditionalFormatting>
  <pageMargins left="0" right="0" top="0" bottom="0" header="0" footer="0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Препод</vt:lpstr>
      <vt:lpstr>Бланк</vt:lpstr>
      <vt:lpstr>На неделю</vt:lpstr>
      <vt:lpstr>Понедельник</vt:lpstr>
      <vt:lpstr>Вторник</vt:lpstr>
      <vt:lpstr>Среда</vt:lpstr>
      <vt:lpstr>Четверг</vt:lpstr>
      <vt:lpstr>Пятница</vt:lpstr>
      <vt:lpstr>Суббота</vt:lpstr>
      <vt:lpstr>Бланк!Область_печати</vt:lpstr>
      <vt:lpstr>Вторник!Область_печати</vt:lpstr>
      <vt:lpstr>'На неделю'!Область_печати</vt:lpstr>
      <vt:lpstr>Понедельник!Область_печати</vt:lpstr>
      <vt:lpstr>Препод!Область_печати</vt:lpstr>
      <vt:lpstr>Пятница!Область_печати</vt:lpstr>
      <vt:lpstr>Среда!Область_печати</vt:lpstr>
      <vt:lpstr>Суббота!Область_печати</vt:lpstr>
      <vt:lpstr>Четверг!Область_печати</vt:lpstr>
    </vt:vector>
  </TitlesOfParts>
  <Company>вгпл 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Reanimator Me User</dc:creator>
  <cp:lastModifiedBy>Завуч</cp:lastModifiedBy>
  <cp:lastPrinted>2026-08-31T09:17:18Z</cp:lastPrinted>
  <dcterms:created xsi:type="dcterms:W3CDTF">2007-11-09T07:01:44Z</dcterms:created>
  <dcterms:modified xsi:type="dcterms:W3CDTF">2026-08-31T09:17:41Z</dcterms:modified>
</cp:coreProperties>
</file>